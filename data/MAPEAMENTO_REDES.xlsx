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inio.junior\Desktop\ledaxmap - Copia (7)\estatico\backend\data\"/>
    </mc:Choice>
  </mc:AlternateContent>
  <xr:revisionPtr revIDLastSave="0" documentId="8_{725166CE-9FE2-4672-A30C-CEDB56C3C695}" xr6:coauthVersionLast="47" xr6:coauthVersionMax="47" xr10:uidLastSave="{00000000-0000-0000-0000-000000000000}"/>
  <bookViews>
    <workbookView xWindow="22932" yWindow="-108" windowWidth="23256" windowHeight="12456" xr2:uid="{3B58F1AC-7538-4425-8BE7-EB7CF7815F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</calcChain>
</file>

<file path=xl/sharedStrings.xml><?xml version="1.0" encoding="utf-8"?>
<sst xmlns="http://schemas.openxmlformats.org/spreadsheetml/2006/main" count="2642" uniqueCount="888">
  <si>
    <t>Rede</t>
  </si>
  <si>
    <t>Loja</t>
  </si>
  <si>
    <t>Endereço</t>
  </si>
  <si>
    <t>CNPJ</t>
  </si>
  <si>
    <t>LOJA 02 - LOPES SUPERMERCADOS LTDA</t>
  </si>
  <si>
    <t>LOJA 03 - LOPES SUPERMERCADOS LTDA</t>
  </si>
  <si>
    <t>53.963.443/0002-25</t>
  </si>
  <si>
    <t>PROENÇA</t>
  </si>
  <si>
    <t>53.963.443/0006-59</t>
  </si>
  <si>
    <t>Rua João Pacheco de Lima, 54-11 - Centro, Auriflama/SP – CEP 15350-009</t>
  </si>
  <si>
    <t>Rua Cyro Maia, 1283 - Centro, Pereira Barreto/SP – CEP 15370-432</t>
  </si>
  <si>
    <t>Av. Brasil Norte, 506 - Centro, Ilha Solteira/SP – CEP 15385-136</t>
  </si>
  <si>
    <t>53.963.443/0007-30</t>
  </si>
  <si>
    <t>Av. Antônio Trajano, 1060 - Centro, Três Lagoas/MS – CEP 79601-970</t>
  </si>
  <si>
    <t>53.963.443/0008-10</t>
  </si>
  <si>
    <t>Av. João Amadeu, 3530 - Jd. Aclimação, Jales/SP – CEP 15700-200</t>
  </si>
  <si>
    <t>53.963.443/0009-00</t>
  </si>
  <si>
    <t>Av. Atlantica, 1775 - Centro, Ilha Solteira/SP – CEP 15385-001</t>
  </si>
  <si>
    <t>53.963.443/0011-16</t>
  </si>
  <si>
    <t>Av. Anísio Haddad, 6889 - Jd. Palmeira, São José do Rio Preto/SP – CEP 15093-000</t>
  </si>
  <si>
    <t>53.963.443/0012-05</t>
  </si>
  <si>
    <t>Rua Pedro Amaral, 3515 - Villa Ercília, São José do Rio Preto/SP – CEP 15014-000</t>
  </si>
  <si>
    <t>53.963.443/0013-88</t>
  </si>
  <si>
    <t>Av. Fortunato Ernesto Vetorazzo, 710 - Jardim Vetorazzo, São José do Rio Preto/SP – CEP 15040-300</t>
  </si>
  <si>
    <t>53.963.443/0015-40</t>
  </si>
  <si>
    <t>Rua Alfredo Rodrigues Simões, 3203 - Chácara Aviação, Votuporanga/SP – CEP 15502-325</t>
  </si>
  <si>
    <t>53.963.443/0016-20</t>
  </si>
  <si>
    <t>Av. Ulisses Guimarães, 50 - Centro, Tanabi/SP – CEP 15170-000</t>
  </si>
  <si>
    <t>53.963.443/0017-01</t>
  </si>
  <si>
    <t>Av. Navarro de Andrade, 1918 - Vila Alto Alegre, Santa Fé do Sul/SP – CEP 15775-080</t>
  </si>
  <si>
    <t>53.963.443/0018-92</t>
  </si>
  <si>
    <t>Av. José da Silva Sé, 2009 - Parque da Liberdade I, São José do Rio Preto/SP – CEP 15056-750</t>
  </si>
  <si>
    <t>53.963.443/0019-73</t>
  </si>
  <si>
    <t>Av. Benedito Zancaner, 1705 - Jardim do Lago, Catanduva/SP – CEP 15801-440</t>
  </si>
  <si>
    <t>53.963.443/0020-07</t>
  </si>
  <si>
    <t>Av. Afonso Cafaro, 2501 - Corinto, Fernandópolis/SP – CEP 15603-436</t>
  </si>
  <si>
    <t>53.963.443/0021-98</t>
  </si>
  <si>
    <t>Av. Joaquim Moreira da Silva, 1856 - São José, José Bonifácio/SP – CEP 15200-000</t>
  </si>
  <si>
    <t>53.963.443/0022-79</t>
  </si>
  <si>
    <t>Av. Nossa Senhora da Paz, 1441 - Jardim Bordon, São José do Rio Preto/SP – CEP 15055-500</t>
  </si>
  <si>
    <t>53.963.443/0024-30</t>
  </si>
  <si>
    <t>Av. Coronel Jonas Alves de Melo, 3288 - CSU, Pereira Barreto/SP – CEP 15372-000</t>
  </si>
  <si>
    <t>53.963.443/0023-50</t>
  </si>
  <si>
    <t>Rua do Bumba Meu Boi, 431 - Jardim São Francisco de Assis, Olímpia/SP – CEP 15405-120</t>
  </si>
  <si>
    <t>53.963.443/0025-11</t>
  </si>
  <si>
    <t>Av. Fernando A. Vendramini, 44-60 - Perímetro Urbano, Mirassol/SP – CEP 15135-231</t>
  </si>
  <si>
    <t>53.963.443/0027-83</t>
  </si>
  <si>
    <t>R. Gentil Storti, 21 - Alto dos Ypês, Andradina/SP – CEP 16901-885</t>
  </si>
  <si>
    <t>53.963.443/0028-64</t>
  </si>
  <si>
    <t>Rua Doutor Arthur Cordeiro, 780 - Patrimônio Silvares, Birigui/SP – CEP 16201-003</t>
  </si>
  <si>
    <t>53.963.443/0029-45</t>
  </si>
  <si>
    <t>LOJA 04 -LOPES SUPERMERCADOS LTDA</t>
  </si>
  <si>
    <t>LOJA 05 - LOPES SUPERMERCADOS LTDA</t>
  </si>
  <si>
    <t>LOJA 06 - LOPES SUPERMERCADOS LTDA</t>
  </si>
  <si>
    <t>LOJA 07 - LOPES SUPERMERCADOS LTDA</t>
  </si>
  <si>
    <t>LOJA 08 - LOPES SUPERMERCADOS LTDA</t>
  </si>
  <si>
    <t>LOJA 09 - LOPES SUPERMERCADOS LTDA</t>
  </si>
  <si>
    <t>LOJA 11 - LOPES SUPERMERCADOS LTDA</t>
  </si>
  <si>
    <t>LOJA 12 - LOPES SUPERMERCADOS LTDA</t>
  </si>
  <si>
    <t>LOJA 13 - LOPES SUPERMERCADOS LTDA</t>
  </si>
  <si>
    <t>LOJA 14 - LOPES SUPERMERCADOS LTDA</t>
  </si>
  <si>
    <t>LOJA 15 - LOPES SUPERMERCADOS LTDA</t>
  </si>
  <si>
    <t>LOJA 16 - LOPES SUPERMERCADOS LTDA</t>
  </si>
  <si>
    <t>LOJA 17 - LOPES SUPERMERCADOS LTDA</t>
  </si>
  <si>
    <t>LOJA 18 - LOPES SUPERMERCADOS LTDA</t>
  </si>
  <si>
    <t>LOJA 19 - LOPES SUPERMERCADOS LTDA</t>
  </si>
  <si>
    <t>LOJA 20 - LOPES SUPERMERCADOS LTDA</t>
  </si>
  <si>
    <t>LOJA 21 - LOPES SUPERMERCADOS LTDA</t>
  </si>
  <si>
    <t>LOJA 22 - LOPES SUPERMERCADOS LTDA</t>
  </si>
  <si>
    <t>LOJA 23 - LOPES SUPERMERCADOS LTDA</t>
  </si>
  <si>
    <t>LOJA 24 - LOPES SUPERMERCADOS LTDA</t>
  </si>
  <si>
    <t>CD – SECO 485</t>
  </si>
  <si>
    <t>CD – PERECÍVEIS 493</t>
  </si>
  <si>
    <t>Rua Pará, 1497 - Parque Comercial, Pereira Barreto/SP - CEP15372-131</t>
  </si>
  <si>
    <t>53.963.443/0004-97</t>
  </si>
  <si>
    <t>Av. Gregório Sulian, 3343 - Centro, Pereira Barreto/SP - 15371-010</t>
  </si>
  <si>
    <t>53.963.443/0026-00</t>
  </si>
  <si>
    <t>CENTERBOX</t>
  </si>
  <si>
    <t>Centerbox Supermercados – Loja Santa Maria</t>
  </si>
  <si>
    <t>R. José Moreira, 670 - Parque Santa Maria, Fortaleza - CE, 60873-195</t>
  </si>
  <si>
    <t>Centerbox Supermercados – Loja Pedras</t>
  </si>
  <si>
    <t>R. Jorge Figueredo, S/N - Pedras, Itaitinga - CE, 61880-000</t>
  </si>
  <si>
    <t>Av. A Cj Sítio São João, 825 - Jangurussu, Fortaleza - CE, 60876-560</t>
  </si>
  <si>
    <t>Centerbox Supermercados – Loja Val Paraíso</t>
  </si>
  <si>
    <t>Av. I, 237 - Parque Dom Pedro ll, Itaitinga - CE, 61880-000</t>
  </si>
  <si>
    <t>Centerbox Supermercados – Loja Parque Dom Pedro</t>
  </si>
  <si>
    <t>Centerbox Supermercados – Loja Lagoa Redonda</t>
  </si>
  <si>
    <t>Centerbox Supermercados – Loja Curió</t>
  </si>
  <si>
    <t>R. Vital Brasil, 2109 - Granja Portugal, Fortaleza - CE, 60541-495</t>
  </si>
  <si>
    <t>Centerbox Supermercados – Loja Granja Portugal</t>
  </si>
  <si>
    <t>Centerbox Supermercados – Loja Messejana II</t>
  </si>
  <si>
    <t>Centerbox Supermercados – Loja Caucaia</t>
  </si>
  <si>
    <t>Av. Edson da Mota Correa, 1125 - Centro, Caucaia - CE, 61600-040</t>
  </si>
  <si>
    <t>Centerbox Supermercados – Loja Expedicionários</t>
  </si>
  <si>
    <t>Av. Bernardo Manuel, 10070 - Rachel de Queiroz, Fortaleza - CE, 60761-282</t>
  </si>
  <si>
    <t>Centerbox Supermercados – Loja Barra do Ceará I</t>
  </si>
  <si>
    <t>Av. Cel. Carvalho, 1261 - Barra do Ceará, Fortaleza - CE, 60330-778</t>
  </si>
  <si>
    <t>Centerbox Supermercados – Loja Conceito</t>
  </si>
  <si>
    <t>R. Dr. Gilberto Studart, 155 - Papicu, Fortaleza - CE, 60192-105</t>
  </si>
  <si>
    <t>Centerbox Supermercados – Loja José Bastos</t>
  </si>
  <si>
    <t>R. José Bastos, 4400 - Panamericano, Fortaleza - CE, 60442-108</t>
  </si>
  <si>
    <t>Centerbox Supermercados – Loja Parquelândia</t>
  </si>
  <si>
    <t>Centerbox Supermercados – Loja Messejana I</t>
  </si>
  <si>
    <t>Av. Frei Cirilo, 4000 - Messejana, Fortaleza - CE, 60845-285</t>
  </si>
  <si>
    <t>Centerbox Supermercados – Loja Santos Dumont</t>
  </si>
  <si>
    <t>Av. Santos Dumont, 6500 - Papicu, Fortaleza - CE, 60190-800</t>
  </si>
  <si>
    <t>Centerbox Supermercados – Loja Jardim iracema</t>
  </si>
  <si>
    <t>R. Alberto de Oliveira, 1739 - Barra do Ceará, Fortaleza - CE, 60330-530</t>
  </si>
  <si>
    <t>Centerbox Supermercados – Loja João XXIII</t>
  </si>
  <si>
    <t>R. Cacilda Becker, 270 - João XXIII, Fortaleza - CE, 60525-570</t>
  </si>
  <si>
    <t>Centerbox Supermercados – Loja Parque São José</t>
  </si>
  <si>
    <t>R. Cônego de Castro, 3918 - Parque São José, Fortaleza - CE, 60730-202</t>
  </si>
  <si>
    <t>Centerbox Supermercados – Loja Genibaú</t>
  </si>
  <si>
    <t>Rua José Mendonça, 690 - Genibaú, Fortaleza - CE, 60534-090</t>
  </si>
  <si>
    <t>11.497.712/0001-84</t>
  </si>
  <si>
    <t>11.497.712/0008-50</t>
  </si>
  <si>
    <t>Centerbox Supermercados – Loja Parque Del Sol</t>
  </si>
  <si>
    <t>Centerbox Supermercados – Loja Barra do Ceará II</t>
  </si>
  <si>
    <t>Av. Cel. Carvalho, 901 - Barra do Ceará, Fortaleza - CE, 60330-778</t>
  </si>
  <si>
    <t>Loja Atacarejo</t>
  </si>
  <si>
    <t>Av. Professor José Arthur de Carvalho, 520 - Lagoa Redonda, Fortaleza - CE, 60831-370</t>
  </si>
  <si>
    <t>Av. Professor José Arthur de Carvalho, 1512 - Lagoa Redonda, Fortaleza - CE, 60831-370</t>
  </si>
  <si>
    <t>Av. Engenheiro Agrônomo José Guimarães Duque, 62 - Parque Iracema, Fortaleza - CE, 60824-138</t>
  </si>
  <si>
    <t>Av. Jornalista Tomaz Coelho, 1661 - JangurussuFortaleza - CE, 60865-035</t>
  </si>
  <si>
    <t xml:space="preserve">11.497.712/0002-65 </t>
  </si>
  <si>
    <t>11.497.712/0003-46</t>
  </si>
  <si>
    <t>11.497.712/0004-27</t>
  </si>
  <si>
    <t>11.497.712/0005-08</t>
  </si>
  <si>
    <t>11.497.712/0007-70</t>
  </si>
  <si>
    <t>11.497.712/0009-31</t>
  </si>
  <si>
    <t>11.497.712/0010-75</t>
  </si>
  <si>
    <t>11.497.712/0011-56</t>
  </si>
  <si>
    <t>11.497.712/0006-99</t>
  </si>
  <si>
    <t>Rua Sargento João Pinheiro, 610 - Granja Lisboa Fortaleza - CE, 60540-511</t>
  </si>
  <si>
    <t>Rua Professor Lino Encarnação, 869 - Parquelândia Fortaleza - CE, 60455-515</t>
  </si>
  <si>
    <t>44.642.966/0001-06</t>
  </si>
  <si>
    <t>03.539.462/0005-01</t>
  </si>
  <si>
    <t>03.539.462/0006-84</t>
  </si>
  <si>
    <t>03.539.462/0003-31</t>
  </si>
  <si>
    <t>03.539.462/0004-12</t>
  </si>
  <si>
    <t>03.539.462/0001-70</t>
  </si>
  <si>
    <t>11.497.712/0013-18</t>
  </si>
  <si>
    <t>MATEUS</t>
  </si>
  <si>
    <t>23.439.441/0001-90</t>
  </si>
  <si>
    <t>23.439.441/0002-70</t>
  </si>
  <si>
    <t>23.439.441/0003-51</t>
  </si>
  <si>
    <t>23.439.441/0004-32</t>
  </si>
  <si>
    <t>23.439.441/0005-13</t>
  </si>
  <si>
    <t>23.439.441/0006-02</t>
  </si>
  <si>
    <t>23.439.441/0007-85</t>
  </si>
  <si>
    <t>23.439.441/0008-66</t>
  </si>
  <si>
    <t>23.439.441/0009-47</t>
  </si>
  <si>
    <t>23.439.441/0010-80</t>
  </si>
  <si>
    <t>23.439.441/0011-61</t>
  </si>
  <si>
    <t>23.439.441/0012-42</t>
  </si>
  <si>
    <t>23.439.441/0013-23</t>
  </si>
  <si>
    <t>23.439.441/0014-04</t>
  </si>
  <si>
    <t>23.439.441/0015-95</t>
  </si>
  <si>
    <t>23.439.441/0016-76</t>
  </si>
  <si>
    <t>23.439.441/0017-57</t>
  </si>
  <si>
    <t>23.439.441/0018-38</t>
  </si>
  <si>
    <t>23.439.441/0019-19</t>
  </si>
  <si>
    <t>23.439.441/0020-52</t>
  </si>
  <si>
    <t>23.439.441/0021-33</t>
  </si>
  <si>
    <t>23.439.441/0022-14</t>
  </si>
  <si>
    <t>23.439.441/0023-03</t>
  </si>
  <si>
    <t>23.439.441/0024-86</t>
  </si>
  <si>
    <t>23.439.441/0025-67</t>
  </si>
  <si>
    <t>23.439.441/0026-48</t>
  </si>
  <si>
    <t>23.439.441/0027-29</t>
  </si>
  <si>
    <t>23.439.441/0028-00</t>
  </si>
  <si>
    <t>23.439.441/0029-90</t>
  </si>
  <si>
    <t>23.439.441/0030-24</t>
  </si>
  <si>
    <t>23.439.441/0031-05</t>
  </si>
  <si>
    <t>23.439.441/0032-96</t>
  </si>
  <si>
    <t>23.439.441/0033-77</t>
  </si>
  <si>
    <t>23.439.441/0034-58</t>
  </si>
  <si>
    <t>23.439.441/0035-39</t>
  </si>
  <si>
    <t>23.439.441/0036-10</t>
  </si>
  <si>
    <t>23.439.441/0037-09</t>
  </si>
  <si>
    <t>23.439.441/0038-81</t>
  </si>
  <si>
    <t>23.439.441/0039-62</t>
  </si>
  <si>
    <t>23.439.441/0040-04</t>
  </si>
  <si>
    <t>23.439.441/0041-87</t>
  </si>
  <si>
    <t>23.439.441/0042-68</t>
  </si>
  <si>
    <t>23.439.441/0043-49</t>
  </si>
  <si>
    <t>23.439.441/0044-20</t>
  </si>
  <si>
    <t>23.439.441/0045-00</t>
  </si>
  <si>
    <t>23.439.441/0046-91</t>
  </si>
  <si>
    <t>23.439.441/0047-72</t>
  </si>
  <si>
    <t>23.439.441/0048-53</t>
  </si>
  <si>
    <t>23.439.441/0049-34</t>
  </si>
  <si>
    <t>23.439.441/0050-78</t>
  </si>
  <si>
    <t>23.439.441/0051-59</t>
  </si>
  <si>
    <t>23.439.441/0052-30</t>
  </si>
  <si>
    <t>23.439.441/0053-10</t>
  </si>
  <si>
    <t>23.439.441/0054-00</t>
  </si>
  <si>
    <t>23.439.441/0055-82</t>
  </si>
  <si>
    <t>23.439.441/0056-63</t>
  </si>
  <si>
    <t>03.995.515/0013-09</t>
  </si>
  <si>
    <t>03.995.515/0338-47</t>
  </si>
  <si>
    <t>03.995.515/0361-96</t>
  </si>
  <si>
    <t>03.995.515/0240-07</t>
  </si>
  <si>
    <t>03.995.515/0290-68</t>
  </si>
  <si>
    <t>03.995.515/0360-05</t>
  </si>
  <si>
    <t>03.995.515/0104-72</t>
  </si>
  <si>
    <t>03.995.515/0212-45</t>
  </si>
  <si>
    <t>03.995.515/0272-86</t>
  </si>
  <si>
    <t>03.995.515/0217-50</t>
  </si>
  <si>
    <t>03.995.515/0039-30</t>
  </si>
  <si>
    <t>03.995.515/0279-52</t>
  </si>
  <si>
    <t>03.995.515/0079-27</t>
  </si>
  <si>
    <t>03.995.515/0086-56</t>
  </si>
  <si>
    <t>03.995.515/0293-00</t>
  </si>
  <si>
    <t>03.995.515/0313-99</t>
  </si>
  <si>
    <t>03.995.515/0067-93</t>
  </si>
  <si>
    <t>03.995.515/0083-03</t>
  </si>
  <si>
    <t>03.995.515/0142-06</t>
  </si>
  <si>
    <t>03.995.515/0364-39</t>
  </si>
  <si>
    <t>03.995.515/0237-01</t>
  </si>
  <si>
    <t>03.995.515/0297-34</t>
  </si>
  <si>
    <t>03.995.515/0312-08</t>
  </si>
  <si>
    <t>03.995.515/0319-84</t>
  </si>
  <si>
    <t>03.995.515/0185-38</t>
  </si>
  <si>
    <t>03.995.515/0148-93</t>
  </si>
  <si>
    <t>03.995.515/0274-48</t>
  </si>
  <si>
    <t>03.995.515/0304-06</t>
  </si>
  <si>
    <t>03.995.515/0112-82</t>
  </si>
  <si>
    <t>03.995.515/0147-02</t>
  </si>
  <si>
    <t>03.995.515/0343-04</t>
  </si>
  <si>
    <t>03.995.515/0113-63</t>
  </si>
  <si>
    <t>03.995.515/0127-69</t>
  </si>
  <si>
    <t>03.995.515/0143-89</t>
  </si>
  <si>
    <t>03.995.515/0164-03</t>
  </si>
  <si>
    <t>03.995.515/0171-32</t>
  </si>
  <si>
    <t>03.995.515/0200-01</t>
  </si>
  <si>
    <t>03.995.515/0054-79</t>
  </si>
  <si>
    <t>03.995.515/0194-29</t>
  </si>
  <si>
    <t>03.995.515/0202-73</t>
  </si>
  <si>
    <t>03.995.515/0261-23</t>
  </si>
  <si>
    <t>03.995.515/0321-07</t>
  </si>
  <si>
    <t>03.995.515/0320-18</t>
  </si>
  <si>
    <t>03.995.515/0167-56</t>
  </si>
  <si>
    <t>03.995.515/0245-03</t>
  </si>
  <si>
    <t>03.995.515/0216-79</t>
  </si>
  <si>
    <t>03.995.515/0256-66</t>
  </si>
  <si>
    <t>03.995.515/0306-60</t>
  </si>
  <si>
    <t>03.995.515/0158-65</t>
  </si>
  <si>
    <t>03.995.515/0186-19</t>
  </si>
  <si>
    <t>03.995.515/0211-64</t>
  </si>
  <si>
    <t>03.995.515/0220-55</t>
  </si>
  <si>
    <t>03.995.515/0363-58</t>
  </si>
  <si>
    <t>03.995.515/0037-78</t>
  </si>
  <si>
    <t>03.995.515/0032-63</t>
  </si>
  <si>
    <t>03.995.515/0073-31</t>
  </si>
  <si>
    <t>03.995.515/0087-37</t>
  </si>
  <si>
    <t>Rua Professor Joca Rego, 100 - Centro, Balsas - MA, 65.800-000</t>
  </si>
  <si>
    <t>Rua 11 de Junho, 220 - Setor Maraba, Goiania - GO, 74.465-539</t>
  </si>
  <si>
    <t>Rua Professor Joca Rego, 90 - Centro, Balsas - MA, 65.800-000</t>
  </si>
  <si>
    <t>Avenida Catulo, 248 - Centro, Balsas - MA, 65.800-000</t>
  </si>
  <si>
    <t>Strc/sul, Trecho 04 Conjunto B Lotes, 14/15 - Zona Industrial (Guara) Brasilia - DF, 71.200-040</t>
  </si>
  <si>
    <t>Rodovia Br 316 - Centro, Santa Ines - MA, 65.300-001</t>
  </si>
  <si>
    <t>Rodovia Br 010, Davinopolis - MA, 65.927-000</t>
  </si>
  <si>
    <t>Rua Projetada - Cohama, Sao Luis - MA, 65.073-780</t>
  </si>
  <si>
    <t>Avenida Luis Firmino de Sousa, 2627 - Sao Benedito, Timon - MA, 65.636-340</t>
  </si>
  <si>
    <t>Br 230, 1004, Balsas - MA, 65.800-000</t>
  </si>
  <si>
    <t>Rua Primeiro de Janeiro, 1905 - Setor Central, Araguaina - TO, 77.803-140</t>
  </si>
  <si>
    <t>Rua Engenheiro Eduardo de Almendra Freitas - Livramento, Teresina - PI, 64.078-840</t>
  </si>
  <si>
    <t>Avenida Engenheiro Emiliano Macieira, 5 - Maracana, Sao Luis - MA, 65.095-602</t>
  </si>
  <si>
    <t>Vila Distrito Industrial, 3000 - Maracana, Sao Luis - MA, 65.099-090</t>
  </si>
  <si>
    <t>Avenida Presidente Vargas, 7465 - Ianetama, Castanhal - PA, 68.745-000</t>
  </si>
  <si>
    <t>Rodovia Br-153, 1885 - Vila Couto Magalhaes, Araguaina - TO, 77.825-061</t>
  </si>
  <si>
    <t>Avenida Liberdade - Vila da Paz, Parauapebas - PA, 68.515-000</t>
  </si>
  <si>
    <t>Rodovia Br 226, Altos - PI, 64.290-000</t>
  </si>
  <si>
    <t>Rodovia Br 316, Santa Isabel do para - PA, 68.792-000</t>
  </si>
  <si>
    <t>Rua Tres, 1 - Distrito Industrial, Sao Luis - MA, 65.090-280</t>
  </si>
  <si>
    <t>Rua Tres, 9 - Distrito Industrial, Sao Luis - MA, 65.090-280</t>
  </si>
  <si>
    <t>Avenida Engenheiro Emiliano Macieira, 4 - Tibiri, Sao Luis - MA, 65.095-600</t>
  </si>
  <si>
    <t>Rua Projetada - Pedrinhas, Sao Luis - MA, 65.095-603</t>
  </si>
  <si>
    <t>Avenida Cinco, 7 - Distrito Industrial, Sao Luis - MA, 65.090-272</t>
  </si>
  <si>
    <t>Avenida Cinco, 3 - Distrito Industrial, Sao Luis - MA, 65.090-272</t>
  </si>
  <si>
    <t>Avenida Cinco, 2 - Distrito Industrial, Sao Luis - MA, 65.090-272</t>
  </si>
  <si>
    <t>Rodovia Br-010, 1 - Coco Grande, Imperatriz - MA, 65.909-170</t>
  </si>
  <si>
    <t>Rodovia Augusto Montenegro - Tenone, Belem - PA, 66.820-000</t>
  </si>
  <si>
    <t>Avenida Engenheiro Emiliano Macieira, 20 - Pedrinhas, Sao Luis - MA, 65.095-603</t>
  </si>
  <si>
    <t>Estrada do Bengui, 386 - Bengui, Belem - PA, 66.630-280</t>
  </si>
  <si>
    <t>Avenida Tancredo Neves - Jardim Independente Ii, Altamira - PA, 68.372-222</t>
  </si>
  <si>
    <t>Quadra Dois Folha 29 - Nova Maraba, Maraba - PA, 68.506-505</t>
  </si>
  <si>
    <t>Rua 3/br 135, 3 - Distrito Industrial, Sao Luis - MA, 65.090-280</t>
  </si>
  <si>
    <t>Rua da Pirelli - Decouville, Marituba - PA, 67.200-000</t>
  </si>
  <si>
    <t>Rodovia Br 316, Km 357 - Centro, Bacabal - MA, 65.700-000</t>
  </si>
  <si>
    <t>Rua Antonio Lumack do Monte, 96 - Boa Viagem, Recife - PE, 51.020-350</t>
  </si>
  <si>
    <t>Avenida Luis Viana Filho, 13223 - Sao Cristovao, Salvador - BA, 41.500-300</t>
  </si>
  <si>
    <t>Rodovia Br 407 - Jardim Sao Paulo, Petrolina - PE, 56.314-522</t>
  </si>
  <si>
    <t>Rodovia Br 101 Sul, 9391 - Distrito Industrial Santo Estevao, Cabo de Santo Agostinho - PE, 54.503-010</t>
  </si>
  <si>
    <t>Avenida Deputado Luis Eduardo Magalhaes, 7100 - Aviario, Feira de Santana - BA, 44.096-486</t>
  </si>
  <si>
    <t>Rodovia Br 226 Km 03, Altos - PI, 64.290-000</t>
  </si>
  <si>
    <t>Rodovia Transamazonica Km 0 Fl 33 Qd.esp Lt.02 - Nova Maraba, Maraba - PA, 68.507-000</t>
  </si>
  <si>
    <t>Avenida Duque de Caxias, 3400 - Primavera, Teresina - PI, 64.002-603</t>
  </si>
  <si>
    <t>Avenida Joao de Araujo Lima, 280 - Prefeito Jose Walter, Fortaleza - CE, 60.750-012</t>
  </si>
  <si>
    <t>Avenida Jose Joao Magalhaes Braga, 5471 - Pedra Miuda, Teresina - PI, 64.038-200</t>
  </si>
  <si>
    <t>Rodovia Anel Viario, 4902 - Boa Esperanca, Maracanau - CE, 61.935-180</t>
  </si>
  <si>
    <t>Avenida Paissandu, 964 - Centro, Teresina - PI, 64.001-245</t>
  </si>
  <si>
    <t>Avenida Daniel de La Touche, 73-A - Cohama, Sao Luis - MA, 65.073-780</t>
  </si>
  <si>
    <t>Avenida Gov Carlos de Lima Cavalcanti, 1306 - Casa Caiada, Olinda - PE, 53.130-515</t>
  </si>
  <si>
    <t>Rua Jaime Travassos de Moura, 1009 - Jardim America, Cabedelo - PB, 58.102-650</t>
  </si>
  <si>
    <t>Avenida Presidente Getulio Vargas, 7979 - Setor Bahia Sul, Teixeira de Freitas - BA, 45.986-330</t>
  </si>
  <si>
    <t>Avenida Doutor Claudio Jose Gueiros Leite, 2597 - Janga, Paulista - PE, 53.437-000</t>
  </si>
  <si>
    <t>Rua Brasiliano Alves da Nobrega, 423 - Valentina de Figueiredo, Joao Pessoa - PB, 58.064-250</t>
  </si>
  <si>
    <t>Estrada de Ribamar - Sao Raimundo, Sao Jose de Ribamar - MA, 65.110-000</t>
  </si>
  <si>
    <t>Avenida Presidente Medici - Centro, Itinga do Maranhao - MA, 65.939-000</t>
  </si>
  <si>
    <t>Avenida Enfermeiro Jose Evangelista de Vasconcelos - Gaioso Nunes, Tiangua - CE, 62.325-050</t>
  </si>
  <si>
    <t>Avenida Jeronimo de Albuquerque Maranhao, 37 - Recanto dos Vinhais, Sao Luis - MA, 65.070-076</t>
  </si>
  <si>
    <t>Avenida Dr Durval de Gois Monteiro, 27 - Tabuleiro do Martins, Maceio - AL, 57.061-110</t>
  </si>
  <si>
    <t>Avenida Sao Geraldo - Centro, Eldorado dos Carajas - PA, 68.524-000</t>
  </si>
  <si>
    <t>Avenida Presidente Getulio Vargas, 4277 - Ianetama, Castanhal - PA, 68.745-000</t>
  </si>
  <si>
    <t>Avenida dos Holandeses/cons.hilton Rodrigues, S/nº - Olho D'agua, Sao Luis - MA, 65.065-180</t>
  </si>
  <si>
    <t>Avenida Padre Cicero, 2241 - Santa Tereza, Juazeiro do Norte - CE, 63.050-423</t>
  </si>
  <si>
    <t>Estrada de Sao Jose de Ribamar, 1000, Sao Jose de Ribamar - MA, 65.110-000</t>
  </si>
  <si>
    <t>Quadra Q Trinta e Um Fl.33 Rodovia Transamazonica, 7 - Nova Maraba, Maraba - PA, 68.507-300</t>
  </si>
  <si>
    <t>Avenida Presidente Getulio Vargas, 454 - Centro, Ulianopolis - PA, 68.632-000</t>
  </si>
  <si>
    <t>Avenida Antonio Carlos Magalhaes, 3650 - Caminho das Arvores, Salvador - BA, 41.820-000</t>
  </si>
  <si>
    <t>Avenida Chanc Osvaldo Aranha, 1110 - Jose Conrado de Araujo, Aracaju - SE, 49.085-100</t>
  </si>
  <si>
    <t>Avenida Antonio Carlos Magalhaes, 844 - Ivan Moura, Eunapolis - BA, 45.830-602</t>
  </si>
  <si>
    <t>Avenida Doutor Ulysses Guimaraes - Cohab Massangano, Petrolina - PE, 56.310-770</t>
  </si>
  <si>
    <t>Avenida Barao de Studart, 2200 - Joaquim Tavora, Fortaleza - CE, 60.120-002</t>
  </si>
  <si>
    <t>Rua Santos Medeiros, 200 - Jocely Dantas de Andrade Torres, Sobral - CE, 62.042-120</t>
  </si>
  <si>
    <t>Avenida Helio Gueiros - Quarenta Horas (Coqueiro) Ananindeua - PA, 67.120-527</t>
  </si>
  <si>
    <t>Avenida Joao Cirilo da Silva, 1360 - Altiplano Cabo Branco, Joao Pessoa - PB, 58.046-005</t>
  </si>
  <si>
    <t>Avenida Antonio Cabral de Souza, 1660 - Maranguape I, Paulista - PE, 53.444-360</t>
  </si>
  <si>
    <t>Avenida Francisco Martins Barata, 722 - Nova Olinda, Castanhal - PA, 68.742-740</t>
  </si>
  <si>
    <t>Rua Professor Antonio Olivio Rodrigues, 1, Itapecuru Mirim - MA, 65.485-000</t>
  </si>
  <si>
    <t>Praca Jornalista Francisco Pessoa de Queiroz, 23 - Santana, Recife - PE, 52.060-412</t>
  </si>
  <si>
    <t>Rodovia Dr Joao Miranda, Abaetetuba - PA, 68.440-000</t>
  </si>
  <si>
    <t>Rodovia Ma 020, Coroata - MA, 65.415-000</t>
  </si>
  <si>
    <t>Rodovia Pa 150, Tailandia - PA, 68.695-000</t>
  </si>
  <si>
    <t>Avenida Avenida Tancredo Neves, Goianesia do para - PA, 68.639-000</t>
  </si>
  <si>
    <t>Rua Holanda Rios - Oliveira Brito, Capanema - PA, 68.701-480</t>
  </si>
  <si>
    <t>Avenida Daniel de La Touche, 73 - Cohama, Sao Luis - MA, 65.074-115</t>
  </si>
  <si>
    <t>Quadra Especial, Folha 26, 1 - Nova Maraba, Maraba - PA, 68.508-445</t>
  </si>
  <si>
    <t>Rua Jose Rodrigues Ribeiro - Uraim, Paragominas - PA, 68.630-798</t>
  </si>
  <si>
    <t>Rua Julieta Rezende, Piripiri - PI, 64.260-000</t>
  </si>
  <si>
    <t>Rua Dois de Julho - Santo Amaro, Recife - PE, 50.040-180</t>
  </si>
  <si>
    <t>Avenida Francisco SA, 5820 - Barra do Ceara, Fortaleza - CE, 60.330-878</t>
  </si>
  <si>
    <t>Rua Antonio Alves Ribeiro, 229 - Jangurussu, Fortaleza - CE, 60.865-030</t>
  </si>
  <si>
    <t>Rua Divino Espirito Santo, Buriticupu - MA, 65.393-000</t>
  </si>
  <si>
    <t>Rua Antonio Pinto de Mendonca, Quixeramobim - CE, 63.800-000</t>
  </si>
  <si>
    <t>Rodovia Ma 014, Km 168, 3, Sao Bento - MA, 65.235-000</t>
  </si>
  <si>
    <t>Rua Quinze de Agosto, 708 - Cruzeiro (Icoaraci) Belem - PA, 66.810-070</t>
  </si>
  <si>
    <t>Avenida Doca Nogueira, Pacajus - CE, 62.870-000</t>
  </si>
  <si>
    <t>Rua Rua Santos Dumont, 422 - Centro, Piripiri - PI, 64.260-000</t>
  </si>
  <si>
    <t>Travessa Santos Dumont, Braganca - PA, 68.600-000</t>
  </si>
  <si>
    <t>Rua Afonso Pena, 220 - Centro, Tutoia - MA, 65.580-000</t>
  </si>
  <si>
    <t>Rua Lauro Sodre, 3, Moju - PA, 68.450-000</t>
  </si>
  <si>
    <t>Avenida Frei Serafim, 2076 - Centro, Teresina - PI, 64.001-020</t>
  </si>
  <si>
    <t>Rua Noventa e Nove, 8 - Vinhais, Sao Luis - MA, 65.071-280</t>
  </si>
  <si>
    <t>Avenida dos Franceses, 2250 - Renascença, Sao Luis - MA, 65.085-000</t>
  </si>
  <si>
    <t>ARMAZEM MATEUS S.A.</t>
  </si>
  <si>
    <t>Mateus Supermercados S.A.</t>
  </si>
  <si>
    <t>ELETRO MATEUS</t>
  </si>
  <si>
    <t>MATEUS SUPERMERCADOS S.A.</t>
  </si>
  <si>
    <t>MIX MATEUS</t>
  </si>
  <si>
    <t>MATEUS SUPERMERCADOS</t>
  </si>
  <si>
    <t>HIPER MATEUS</t>
  </si>
  <si>
    <t>MIX CASTANHAL</t>
  </si>
  <si>
    <t>73.849.952/0031-73</t>
  </si>
  <si>
    <t>73.849.952/0056-21</t>
  </si>
  <si>
    <t>73.849.952/0012-00</t>
  </si>
  <si>
    <t>73.849.952/0014-72</t>
  </si>
  <si>
    <t>73.849.952/0016-34</t>
  </si>
  <si>
    <t>73.849.952/0025-25</t>
  </si>
  <si>
    <t>73.849.952/0034-16</t>
  </si>
  <si>
    <t>73.849.952/0018-04</t>
  </si>
  <si>
    <t>73.849.952/0041-45</t>
  </si>
  <si>
    <t>73.849.952/0028-78</t>
  </si>
  <si>
    <t>73.849.952/0027-97</t>
  </si>
  <si>
    <t>73.849.952/0036-88</t>
  </si>
  <si>
    <t>73.849.952/0046-50</t>
  </si>
  <si>
    <t>73.849.952/0011-20</t>
  </si>
  <si>
    <t>73.849.952/0002-39</t>
  </si>
  <si>
    <t>73.849.952/0054-60</t>
  </si>
  <si>
    <t>73.849.952/0007-43</t>
  </si>
  <si>
    <t>73.849.952/0024-44</t>
  </si>
  <si>
    <t>73.849.952/0039-20</t>
  </si>
  <si>
    <t>73.849.952/0006-62</t>
  </si>
  <si>
    <t>73.849.952/0059-74</t>
  </si>
  <si>
    <t>73.849.952/0035-05</t>
  </si>
  <si>
    <t>73.849.952/0030-92</t>
  </si>
  <si>
    <t>73.849.952/0047-30</t>
  </si>
  <si>
    <t>73.849.952/0037-69</t>
  </si>
  <si>
    <t>73.849.952/0057-02</t>
  </si>
  <si>
    <t>73.849.952/0033-35</t>
  </si>
  <si>
    <t>73.849.952/0009-05</t>
  </si>
  <si>
    <t>73.849.952/0001-58</t>
  </si>
  <si>
    <t>73.849.952/0005-81</t>
  </si>
  <si>
    <t>73.849.952/0043-07</t>
  </si>
  <si>
    <t>73.849.952/0053-89</t>
  </si>
  <si>
    <t>73.849.952/0015-53</t>
  </si>
  <si>
    <t>73.849.952/0023-63</t>
  </si>
  <si>
    <t>73.849.952/0004-09</t>
  </si>
  <si>
    <t>73.849.952/0003-10</t>
  </si>
  <si>
    <t>73.849.952/0064-31</t>
  </si>
  <si>
    <t>73.849.952/0020-10</t>
  </si>
  <si>
    <t>73.849.952/0045-79</t>
  </si>
  <si>
    <t>73.849.952/0010-49</t>
  </si>
  <si>
    <t>73.849.952/0063-50</t>
  </si>
  <si>
    <t>73.849.952/0042-26</t>
  </si>
  <si>
    <t>73.849.952/0038-40</t>
  </si>
  <si>
    <t>73.849.952/0052-06</t>
  </si>
  <si>
    <t>73.849.952/0049-00</t>
  </si>
  <si>
    <t>73.849.952/0026-06</t>
  </si>
  <si>
    <t>73.849.952/0029-59</t>
  </si>
  <si>
    <t>73.849.952/0040-64</t>
  </si>
  <si>
    <t>73.849.952/0021-00</t>
  </si>
  <si>
    <t>73.849.952/0061-99</t>
  </si>
  <si>
    <t>73.849.952/0017-15</t>
  </si>
  <si>
    <t>Latitude</t>
  </si>
  <si>
    <t>Longitude</t>
  </si>
  <si>
    <t>ATAKAREJO</t>
  </si>
  <si>
    <t>ATAKAREJO DISTRIBUIDOR DE ALIMENTOS E BEBIDAS S.A</t>
  </si>
  <si>
    <t>RODOVIA BA 099, ESTRADA DO COCO, KM 64, SN, ITACIMIRIM, CAMAÇARI / BA</t>
  </si>
  <si>
    <t>ALAMEDA DAS AGUAS, SN, NOVO HORIZONTE, ALAGOINHAS / BA</t>
  </si>
  <si>
    <t>AVENIDA ENG ELMO SEREJO DE FARIAS, 2073, CIA I, SIMÕES FILHO / BA</t>
  </si>
  <si>
    <t>AVENIDA JOSE FALCAO DA SILVA, 150, BARAUNA, FEIRA DE SANTANA / BA</t>
  </si>
  <si>
    <t>AVENIDA MARIA LUCIA, 001015, SETE DE ABRIL, SALVADOR / BA</t>
  </si>
  <si>
    <t>RODOVIA BA 001, 8765, COROA, VERA CRUZ / BA</t>
  </si>
  <si>
    <t>RUA GENARO DE CARVALHO, 001150, VILA CANARIA, SALVADOR / BA</t>
  </si>
  <si>
    <t>AVENIDA OCTAVIO MANGABEIRA, 3300, COSTA AZUL, SALVADOR / BA</t>
  </si>
  <si>
    <t>AVENIDA PRESIDENTE JOAO GOULART, 171, CENTRO, JEQUIÉ / BA</t>
  </si>
  <si>
    <t>ESTRADA DE CAMPINAS, 000121, SAO CAETANO, SALVADOR / BA</t>
  </si>
  <si>
    <t>AVENIDA OLIVIA FLORES, SN, CANDEIAS, VITÓRIA DA CONQUISTA / BA</t>
  </si>
  <si>
    <t>AVENIDA DAS PALMEIRAS, S/N, QUINTAS DO MORUMBI, ITAPETINGA / BA</t>
  </si>
  <si>
    <t>RUA DO BALNEARIO, 000390, AMARALINA, SALVADOR / BA</t>
  </si>
  <si>
    <t>RUA ABELARDO ANDRADE DE CARVALHO, 000472, BOCA DO RIO, SALVADOR / BA</t>
  </si>
  <si>
    <t>AVENIDA PADRE CUPERTINO, 00, CENTRO, CATU / BA</t>
  </si>
  <si>
    <t>RUA NILO PECANHA, 000233, CALCADA, SALVADOR / BA</t>
  </si>
  <si>
    <t>AVENIDA AFRANIO PEIXOTO, 003913, LOBATO, SALVADOR / BA</t>
  </si>
  <si>
    <t>RUA CARIMBAMBA, 0000SN, PITUACU, SALVADOR / BA</t>
  </si>
  <si>
    <t>AVENIDA CAMINHO DE AREIA, 88, CAMINHO DE AREIA, SALVADOR / BA</t>
  </si>
  <si>
    <t>AVENIDA FERNANDO PINTO DE QUEIROZ, S/N, SIM, FEIRA DE SANTANA / BA</t>
  </si>
  <si>
    <t>AVENIDA PRINCESA ISABEL, SN, SAO CAETANO, ITABUNA / BA</t>
  </si>
  <si>
    <t>ESTRADA DO SEST SENAT, 908, CIA I, SIMÕES FILHO / BA</t>
  </si>
  <si>
    <t>AVENIDA JOSE CARLOS DE LACERDA, S/N, LUIZ EDUARDO MAGALHAES, SÃO GONÇALO DOS CAMPOS / BA</t>
  </si>
  <si>
    <t>AVENIDA URSICINO PINTO DE QUEIROZ, 58, CENTRO, SANTO ANTÔNIO DE JESUS / BA</t>
  </si>
  <si>
    <t>RUA EUNAPOLIS, S/N, MANGABEIRA, FEIRA DE SANTANA / BA</t>
  </si>
  <si>
    <t>VIA DE PENETRACAO I, 690, CIA SUL, SIMÕES FILHO / BA</t>
  </si>
  <si>
    <t>AVENIDA OCTAVIO MANGABEIRA, 012235, ITAPUA, SALVADOR / BA</t>
  </si>
  <si>
    <t>AVENIDA SANTIAGO DE COMPOSTELA, 000425, BROTAS, SALVADOR / BA</t>
  </si>
  <si>
    <t>RUA B, SN, NOVA CALIFORNIA, ITABUNA / BA</t>
  </si>
  <si>
    <t>RODOVIA BR 110, SN, HUMILDES - SEDE, SÃO SEBASTIÃO DO PASSÉ / BA</t>
  </si>
  <si>
    <t>AVENIDA TANCREDO NEVES, 003290, PERNAMBUES, SALVADOR / BA</t>
  </si>
  <si>
    <t>RUA FREDERICO COSTA, 000146, PERIPERI, SALVADOR / BA</t>
  </si>
  <si>
    <t>RUA ELIAS NAZARE, 22, CALCADA, SALVADOR / BA</t>
  </si>
  <si>
    <t>AVENIDA SANTOS DUMONT, 5840, PITANGUEIRAS, LAURO DE FREITAS / BA</t>
  </si>
  <si>
    <t>AVENIDA LUIZ VIANA FILHO, S/N, RODOVIARIO, ITABERABA / BA</t>
  </si>
  <si>
    <t>RODOVIA BA528, 5430, PARIPE, SALVADOR / BA</t>
  </si>
  <si>
    <t>RUA CONDE DE PORTO ALEGRE, 165, IAPI, SALVADOR / BA</t>
  </si>
  <si>
    <t>LOTEAMENTO JOAO ASSIS, S/N, JOAO ASSIS, GANDU / BA</t>
  </si>
  <si>
    <t>AVENIDA TANCREDO NEVES, SN, OLIVENCA, ILHÉUS / BA</t>
  </si>
  <si>
    <t>AVENIDA ULYSSES GUIMARAES, 004594, NOVO HORIZONTE, SALVADOR / BA</t>
  </si>
  <si>
    <t>RUA SEM DENOMINACAO, 251, CENTRO, DIAS D'ÁVILA / BA</t>
  </si>
  <si>
    <t>VIA BA 533, SN, STAR, POJUCA / BA</t>
  </si>
  <si>
    <t>AVENIDA GENERAL SAN MARTIN, 000821, IAPI, SALVADOR / BA</t>
  </si>
  <si>
    <t>AVENIDA LUIS VIANA FILHO, 006282, PATAMARES, SALVADOR / BA</t>
  </si>
  <si>
    <t>AVENIDA IVAN COSTA RODRIGUES, SN, CIDADE ALTA - SEDE, PORTO SEGURO / BA</t>
  </si>
  <si>
    <t>AVENIDA AFRANIO PEIXOTO, 6156, LOBATO, SALVADOR / BA</t>
  </si>
  <si>
    <t>AVENIDA SAO CRISTOVAO, 000301, SAO CRISTOVAO, SALVADOR / BA</t>
  </si>
  <si>
    <t>RODOVIA BA093, 5422, PALMARES, SIMÕES FILHO / BA, 43728-705</t>
  </si>
  <si>
    <t>CENCOSUD</t>
  </si>
  <si>
    <t>GBarbosa Delmiro Gouveia</t>
  </si>
  <si>
    <t>Rua Sargento Antonio Pedro, 13, 57480-000, Delmiro Gouveia - AL</t>
  </si>
  <si>
    <t>GBarbosa Benedito Bentes</t>
  </si>
  <si>
    <t>Av. Antonio Lisboa de Amorin, 2485, 57085-160, Maceió - AL</t>
  </si>
  <si>
    <t>GBarbosa Hiper Arapiraca</t>
  </si>
  <si>
    <t>Av. Maceió, nº S/N, 57061-110, Maceió - AL</t>
  </si>
  <si>
    <t>GBarbosa Tabuleiro</t>
  </si>
  <si>
    <t>GBarbosa Pátio</t>
  </si>
  <si>
    <t>GBarbosa Hiper Praia</t>
  </si>
  <si>
    <t>Av. Gustavo Paiva, 5395, 57038-000, Maceió - AL</t>
  </si>
  <si>
    <t>GBarbosa Hiper Stella Maris</t>
  </si>
  <si>
    <t>Rua Engenheiro Paulo Brandão Nogueira, S/N, 57036-550, Maceió - AL</t>
  </si>
  <si>
    <t>GBarbosa Hiper Serraria</t>
  </si>
  <si>
    <t>Av. Menino Marcelo, 9730, 57046-000, Maceió - AL</t>
  </si>
  <si>
    <t>GBarbosa Oasis</t>
  </si>
  <si>
    <t>Av. José Hemetério de Carvalho, 1631, 48601-320, Paulo Afonso - BA</t>
  </si>
  <si>
    <t>GBarbosa Princesa Isabel</t>
  </si>
  <si>
    <t>Rua Princesa Isabel, S/N, 48903-130, Juazeiro - BA</t>
  </si>
  <si>
    <t>GBarbosa Tomba</t>
  </si>
  <si>
    <t>R. Comendador Gomes, 44064-000, Feira de Santana - BA</t>
  </si>
  <si>
    <t>GBarbosa Engenho Velho de Brotas</t>
  </si>
  <si>
    <t>R. Frederico Costa, 534, 40243-045, Salvador - BA</t>
  </si>
  <si>
    <t>GBarbosa Praça da Bandeira</t>
  </si>
  <si>
    <t>Praça da Bandeira, 01, 48005-170, Alagoinhas - BA</t>
  </si>
  <si>
    <t>Alameda Euvaldo Luz, 92, 41098-020, Salvador - BA</t>
  </si>
  <si>
    <t>GBarbosa Horto Bela Visa</t>
  </si>
  <si>
    <t>Barão de Cotegipe, 1106, 44025-030, Feira de Santana - BA</t>
  </si>
  <si>
    <t>GBarbosa Barão</t>
  </si>
  <si>
    <t>Av. Evência Brito, 134, 48400-000, Ribeira do Pombal - BA</t>
  </si>
  <si>
    <t>GBarbosa Ribeira do Pombal</t>
  </si>
  <si>
    <t>GBarbosa Teixeira de Freitas</t>
  </si>
  <si>
    <t>GBarbosa Sobradinho</t>
  </si>
  <si>
    <t>GBarbosa Hiper Vitória da Conquista</t>
  </si>
  <si>
    <t>Rua Padre Anchieta, 165, 45998-002, Teixeira de Freitas - BA</t>
  </si>
  <si>
    <t>Av. Olivia Flores, S/N, 45028-100, Vitória da Conquista - BA</t>
  </si>
  <si>
    <t>Rua Drº Arivaldo de Carvalho, 780, 44020-010, Feira de Santana - BA</t>
  </si>
  <si>
    <t>GBarbosa Guarajuba</t>
  </si>
  <si>
    <t>Rodovia BA 099, Km 42, 42827-000, Camaçari - BA</t>
  </si>
  <si>
    <t>GBarbosa Esplanada</t>
  </si>
  <si>
    <t>Ladislau Cavalcante, 18, 48370-000, Esplanada - BA</t>
  </si>
  <si>
    <t>GBarbosa Valença</t>
  </si>
  <si>
    <t>Avenida Industrial Marita Almeida S/N, 45400-000, Valença - BA</t>
  </si>
  <si>
    <t>GBarbosa Jequié</t>
  </si>
  <si>
    <t>Praça da Bandeira, 228, 45200-310, Jequié - BA</t>
  </si>
  <si>
    <t>GBarbosa Parangaba</t>
  </si>
  <si>
    <t>Avenida Dedé Brasil, 400, 60740-002, Fortaleza - CE</t>
  </si>
  <si>
    <t>GBarbosa Borges de Melo</t>
  </si>
  <si>
    <t>Avenida Borges de Melo, 1135, 60415-510, Fortaleza - CE</t>
  </si>
  <si>
    <t>GBarbosa Hiper Presidente Kennedy</t>
  </si>
  <si>
    <t>Avenida Parsifal Barroso, 600, 60355-630, Fortaleza - CE</t>
  </si>
  <si>
    <t>GBarbosa Maestro Lisboa</t>
  </si>
  <si>
    <t>Av. Maestro Lisboa, nº 802, 60830-185, Fortaleza - CE</t>
  </si>
  <si>
    <t>GBarbosa Washington Soares</t>
  </si>
  <si>
    <t>Av. Washington Soares, 1779, 60811-341, Fortaleza - CE</t>
  </si>
  <si>
    <t>Gbaborsa Padre Valdevino</t>
  </si>
  <si>
    <t>Rua Padre Valdevino, 920, 60135-040, Fortaleza - CE</t>
  </si>
  <si>
    <t>GBarbosa Vila Eduardo</t>
  </si>
  <si>
    <t>Av. Da Integração, 583, 56328-010, Petrolina - PE</t>
  </si>
  <si>
    <t>GBarbosa Hiper Riomar</t>
  </si>
  <si>
    <t>Av. Luiz Lua Gonzaga, 400, 49035-500, Aracaju - SE</t>
  </si>
  <si>
    <t>GBarbosa Hiper Luzia</t>
  </si>
  <si>
    <t>Rua Ministro Nelson Hungria, 155, 49045-510, Aracaju - SE</t>
  </si>
  <si>
    <t>Av. Deputado Sílvio Teixeira, 831, 49025-100, Aracaju - SE</t>
  </si>
  <si>
    <t>GBarbosa Hiper Jardins</t>
  </si>
  <si>
    <t>Av. Coelho e Campos, 215, 49010-720, Aracaju - SE</t>
  </si>
  <si>
    <t>GBarbosa Hiper Centro</t>
  </si>
  <si>
    <t>Rua José Do Prado Franco, 148, 49010-110, Aracaju - SE</t>
  </si>
  <si>
    <t>GBarbosa Mercado</t>
  </si>
  <si>
    <t>Rua Luiz Chagas, 55, 49037-430, Aracaju - SE</t>
  </si>
  <si>
    <t>GBarbosa Atalaia</t>
  </si>
  <si>
    <t>GBarbosa Santo Antônio</t>
  </si>
  <si>
    <t>Rua Muribeca, 310, 49060-470, Aracaju - SE</t>
  </si>
  <si>
    <t>GBarbosa Bugio</t>
  </si>
  <si>
    <t>Av. Poço do Mero, 285, 49090-000, Aracaju - SE</t>
  </si>
  <si>
    <t>GBarbosa Augusto Franco</t>
  </si>
  <si>
    <t>Av. Heráclito Rollemberg, 2676, 49030-640, Aracaju - SE</t>
  </si>
  <si>
    <t>GBarbosa Ponto Novo</t>
  </si>
  <si>
    <t>Av. Augusto Franco, 3280, 49047-040, Aracaju - SE</t>
  </si>
  <si>
    <t>GBarbosa Santa Maria</t>
  </si>
  <si>
    <t>Av. Alexandre Alcino, 2155, 49044-090, Aracaju - SE</t>
  </si>
  <si>
    <t>Av. Sete de Junho, 380/386, 49300-000, Tobias Barreto - SE</t>
  </si>
  <si>
    <t>GBarbosa Tobias Barreto</t>
  </si>
  <si>
    <t>Calçadão da Rua João dos Reis Lima Neto, 98, 49600-000, Nossa Senhora das Dores - SE</t>
  </si>
  <si>
    <t>GBarbosa Nossa Senhora das Dores</t>
  </si>
  <si>
    <t>Praça Silvio Romero, 48/52, 49400-000, Lagarto - SE</t>
  </si>
  <si>
    <t>GBarbosa Lagarto</t>
  </si>
  <si>
    <t>Av. 1, 13, 49160-000, Nossa Senhora do Socorro - SE</t>
  </si>
  <si>
    <t>GBarbosa João Alves</t>
  </si>
  <si>
    <t>GBarbosa Eduardo Gomes</t>
  </si>
  <si>
    <t>Av. Dr. José Tomaz D'Avila Nabuco, 49030-270, Aracaju - SE</t>
  </si>
  <si>
    <t>GBarbosa Hiper Farolândia</t>
  </si>
  <si>
    <t>Av. Francisco Porto, 250, 49020-120, Aracaju - SE</t>
  </si>
  <si>
    <t>GBarbosa Hiper Francisco Porto</t>
  </si>
  <si>
    <t>Av. Coletora A, S/N, 49160-000, Nossa Senhora do Socorro - SE</t>
  </si>
  <si>
    <t>GBarbosa Hiper Socorro</t>
  </si>
  <si>
    <t>Trav. Manoel Boa Ventura, 44, 49290-000, Itabaianinha - SE</t>
  </si>
  <si>
    <t>GBarbosa Itabaianinha</t>
  </si>
  <si>
    <t>Av. Marechal Deodoro, 119, 49100-970, São Cristóvão - SE</t>
  </si>
  <si>
    <t>Gbarbosa São Cristóvão</t>
  </si>
  <si>
    <t>GBarbosa Hiper Sul</t>
  </si>
  <si>
    <t>Av. Osvaldo Aranha, 1240, 49085-100, Aracaju - SE</t>
  </si>
  <si>
    <t>GBarbosa Hiper Norte</t>
  </si>
  <si>
    <t>Praça João Alves do Nascimento, 108, 49200-000, Estância - SE</t>
  </si>
  <si>
    <t>GBarbosa Hiper Estância</t>
  </si>
  <si>
    <t>GBarbosa Hiper Lagarto</t>
  </si>
  <si>
    <t>Av. Sindicalista Antônio Francisco da Rocha, 100, 49400-000, Lagarto - SE</t>
  </si>
  <si>
    <t>Rua Gonçalo Prado Rollemberg,142, 49010-410, Aracaju - SE</t>
  </si>
  <si>
    <t>GBarbosa São José</t>
  </si>
  <si>
    <t>Rua Major Aureliano, 305, 49087-400, Aracaju - SE</t>
  </si>
  <si>
    <t>GBarbosa Santos Dumont</t>
  </si>
  <si>
    <t>Av. Francisco José da Fonseca, 1337, 49042-000, Aracaju - SE</t>
  </si>
  <si>
    <t>GBarbosa Orlando Dantas</t>
  </si>
  <si>
    <t>GBarbosa Barra dos Coqueiros</t>
  </si>
  <si>
    <t>Avenida Oceânica, 1025, 49140-970, Barra dos Coqueiros - SE</t>
  </si>
  <si>
    <t>Largo Santo Antônio, 51, 49500-196, Itabaiana - SE</t>
  </si>
  <si>
    <t>GBarbosa Itabaiana</t>
  </si>
  <si>
    <t>Praça Des. Rinaldo Costa e Silva, 219, 49360-000, Boquim - SE</t>
  </si>
  <si>
    <t>GBarbosa Boquim</t>
  </si>
  <si>
    <t>RUA DIAS DA CRUZ, 579, 20720-011, RIO DE JANEIRO - RJ</t>
  </si>
  <si>
    <t>AVENIDA BRAZ DE PINA, 1952, 21235-603, RIO DE JANEIRO - RJ</t>
  </si>
  <si>
    <t>ESTRADA MARECHAL MIGUEL SALAZAR MENDES DE MORAES, 906, 22770-331, RIO DE JANEIRO - RJ</t>
  </si>
  <si>
    <t>ESTRADA DO TINDIBA, 565, 22740-360, RIO DE JANEIRO - RJ</t>
  </si>
  <si>
    <t>ESTRADA DE JACAREPAGUÁ, 7153, 22755-155, RIO DE JANEIRO - RJ</t>
  </si>
  <si>
    <t>ESTRADA DO CABUÇU, 1654, 23052-230, RIO DE JANEIRO - RJ</t>
  </si>
  <si>
    <t>ESTRADA DO GALEÃO, 1800, 21931-524, RIO DE JANEIRO - RJ</t>
  </si>
  <si>
    <t>AV. DAS AMÉRICAS, 4245, 22631004, RIO DE JANEIRO - RJ</t>
  </si>
  <si>
    <t>RUA URANOS, 1293, 21060-005, RIO DE JANEIRO - RJ</t>
  </si>
  <si>
    <t>RUA ITAPURU, 474, 20251-030, RIO DE JANEIRO - RJ</t>
  </si>
  <si>
    <t>AV. RODOLFO AMOEDO 347, 22620350, RIO DE JANEIRO - RJ</t>
  </si>
  <si>
    <t>AVENIDA AUTOMÓVEL CLUBE,1659, 25565-171, RIO DE JANEIRO - RJ</t>
  </si>
  <si>
    <t>RUA DAS LARANJEIRAS,139, 22240-000, RIO DE JANEIRO - RJ</t>
  </si>
  <si>
    <t>RUA CORONEL MOREIRA CÉSAR, 414 A, 24230-065, NITERÓI - RJ</t>
  </si>
  <si>
    <t>AVENIDA GETÚLIO DE MOURA, 1591, 26525-001, RIO DE JANEIRO - RJ</t>
  </si>
  <si>
    <t>ESTRADA TINGUI, 1333, 23076170, RIO DE JANEIRO - RJ</t>
  </si>
  <si>
    <t>ESTRADA DO TIMBÓ, 52, 21061-280, RIO DE JANEIRO - RJ</t>
  </si>
  <si>
    <t>RUA MIGUEL DE CERVANTES, 240, 20780-370, RIO DE JANEIRO - RJ</t>
  </si>
  <si>
    <t>RUA GENERAL JACQUES OURIQUE, 770, 21720-540, RIO DE JANEIRO - RJ</t>
  </si>
  <si>
    <t>RUA ABREU SODRÉ, 27, 24900-105, MARICÁ - RJ</t>
  </si>
  <si>
    <t>AVENIDA DOM HÉLDER CÂMARA, 105, 20911-291, RIO DE JANEIRO - RJ</t>
  </si>
  <si>
    <t>RUA URUGUAI, 330, 20510-055, RIO DE JANEIRO - RJ</t>
  </si>
  <si>
    <t>ALAMEDA SÃO BOAVENTURA, 1.012, 24120-192, NITERÓI - RJ</t>
  </si>
  <si>
    <t>RUA DOUTOR MANOEL REIS, 175, 25025-010, DUQUE DE CAXIAS - RJ</t>
  </si>
  <si>
    <t>RUA DOM PEDRO I, 53, 23510-010, RIO DE JANEIRO - RJ</t>
  </si>
  <si>
    <t>RUA GENERAL POLIDORO, 260, 22280-003, RIO DE JANEIRO - RJ</t>
  </si>
  <si>
    <t>JOSÉ DE ALVARENGA, 95, 25020-970, DUQUE DE CAXIAS - RJ</t>
  </si>
  <si>
    <t>AV. DAS AMÉRICAS, 16100, 22790-704, RIO DE JANEIRO - RJ</t>
  </si>
  <si>
    <t>ESTR. DE JACAREPAGUÁ, 6069 – Anil, loja 101, 22753-033, RIO DE JANEIRO - RJ</t>
  </si>
  <si>
    <t>PRAÇA JAURU, 32, 22725-520, RIO DE JANEIRO - RJ</t>
  </si>
  <si>
    <t>SOUZA BARROS, 450, 20961-150, RIO DE JANEIRO - RJ</t>
  </si>
  <si>
    <t>ESTRADA DOS BANDEIRANTES,105, 22710-570, RIO DE JANEIRO - RJ</t>
  </si>
  <si>
    <t>AVENIDA DA SANTA CRUZ, 7138, 21830-264, RIO DE JANEIRO - RJ</t>
  </si>
  <si>
    <t>RUA CÂNDIDO BENÍCIO, 20, 21320-060, RIO DE JANEIRO - RJ</t>
  </si>
  <si>
    <t>Rua Voluntários da Pátria, 222, 22270-012, RIO DE JANEIRO - RJ</t>
  </si>
  <si>
    <t>RUA BLVD 28 DE SETEMBRO, 158, 20551-055, RIO DE JANEIRO - RJ</t>
  </si>
  <si>
    <t>PREZUNIC MÉIER</t>
  </si>
  <si>
    <t>PREZUNIC VISTA ALEGRE</t>
  </si>
  <si>
    <t>PREZUNIC CIDADE DE DEUS</t>
  </si>
  <si>
    <t>PREZUNIC PECHINCHA</t>
  </si>
  <si>
    <t>PREZUNIC FREGUESIA</t>
  </si>
  <si>
    <t>PREZUNIC CAMPO GRANDE</t>
  </si>
  <si>
    <t>PREZUNIC ILHA DO GOVERNADOR</t>
  </si>
  <si>
    <t>PREZUNIC BARRA MARAPENDI</t>
  </si>
  <si>
    <t>PREZUNIC OLARIA</t>
  </si>
  <si>
    <t>PREZUNIC PENHA</t>
  </si>
  <si>
    <t>PREZUNIC CATUMBI</t>
  </si>
  <si>
    <t>PREZUNIC JARDIM OCEÂNICO</t>
  </si>
  <si>
    <t>PREZUNIC VILAR DOS TELES</t>
  </si>
  <si>
    <t>PREZUNIC LARANJEIRAS</t>
  </si>
  <si>
    <t>PREZUNIC ICARAÍ</t>
  </si>
  <si>
    <t>PREZUNIC NILÓPOLIS</t>
  </si>
  <si>
    <t>PREZUNIC REALENGO</t>
  </si>
  <si>
    <t>PREZUNIC TINGUI</t>
  </si>
  <si>
    <t>PREZUNIC ITAÓCA</t>
  </si>
  <si>
    <t>PREZUNIC CACHAMBI</t>
  </si>
  <si>
    <t>PREZUNIC PADRE MIGUEL</t>
  </si>
  <si>
    <t>PREZUNIC MARICÁ</t>
  </si>
  <si>
    <t>PREZUNIC BARRA DA TIJUCA</t>
  </si>
  <si>
    <t>PREZUNIC BENFICA</t>
  </si>
  <si>
    <t>PREZUNIC TIJUCA</t>
  </si>
  <si>
    <t>PREZUNIC FONSECA</t>
  </si>
  <si>
    <t>PREZUNIC CAXIAS CENTENÁRIO</t>
  </si>
  <si>
    <t>PREZUNIC SANTA CRUZ</t>
  </si>
  <si>
    <t>PREZUNIC BOTAFOGO</t>
  </si>
  <si>
    <t>PREZUNIC CAXIAS CENTRO</t>
  </si>
  <si>
    <t>PREZUNIC RECREIO</t>
  </si>
  <si>
    <t>PREZUNIC PARK JACAREPAGUÁ</t>
  </si>
  <si>
    <t>PREZUNIC JAURU</t>
  </si>
  <si>
    <t>PREZUNIC ENGENHO NOVO</t>
  </si>
  <si>
    <t>PREZUNIC TAQUARA</t>
  </si>
  <si>
    <t>PREZUNIC SENADOR CAMARÁ</t>
  </si>
  <si>
    <t>PREZUNIC CAMPINHO</t>
  </si>
  <si>
    <t>PREZUNIC VOLUNTÁRIOS</t>
  </si>
  <si>
    <t>PREZUNIC VILA ISABEL</t>
  </si>
  <si>
    <t>MERCANTIL FEIRA DE SANTANA – CIDADE NOVA</t>
  </si>
  <si>
    <t>Av. Eduardo Fróes da Mota, 6281, 44053-005, Feira de Santana - BA</t>
  </si>
  <si>
    <t>MERCANTIL LAURO DE FREITAS</t>
  </si>
  <si>
    <t>Rua Ismar Araújo, 168, 41235-010, Salvador - BA</t>
  </si>
  <si>
    <t>MERCANTIL SALVADOR - PAU DA LIMA</t>
  </si>
  <si>
    <t>Rua Oito de Novembro, 6 - Pirajá, 41290-200, Salvador - BA</t>
  </si>
  <si>
    <t>MERCANTIL SALVADOR - PIRAJÁ</t>
  </si>
  <si>
    <t>MERCANTIL FEIRA DE SANTANA - KALILÂNDIA</t>
  </si>
  <si>
    <t>Av. Maria Quitéria, s/n - Kalilândia, 44001-032, Feira de Santana - BA</t>
  </si>
  <si>
    <t>Rod. Lomanto Junior, s/n - Alto do Cruzeiro, 48900-420, Juazeiro - BA</t>
  </si>
  <si>
    <t>MERCANTIL JUAZEIRO</t>
  </si>
  <si>
    <t>Av. General Graça Lessa, 304, Acupe de Brotas, 40290-500, Salvador - BA</t>
  </si>
  <si>
    <t>MERCANTIL SALVADOR - OGUNJÁ</t>
  </si>
  <si>
    <t>Av. Jequitaia, 411 - Calçada, 40411-000, Salvador - BA</t>
  </si>
  <si>
    <t>MERCANTIL SALVADOR - CALÇADA</t>
  </si>
  <si>
    <t>Avenida General San Martin, 496, 40354-185, Salvador - BA</t>
  </si>
  <si>
    <t>MERCANTIL SALVADOR - SAN MARTIN</t>
  </si>
  <si>
    <t>Av. Tancredo Neves, s/n, Jabotiana, 49095-000, Aracaju - SE</t>
  </si>
  <si>
    <t>MERCANTIL ARACAJU</t>
  </si>
  <si>
    <t>PERINI GRAÇA</t>
  </si>
  <si>
    <t>PERINI PITUBA</t>
  </si>
  <si>
    <t>Rua Artur de Azevedo Machado, 3447, Costa Azul, Salvador - BA, 41760-000</t>
  </si>
  <si>
    <t>Avenida Princesa Leopoldina, 398, Graça, Salvador - BA, 40150-080</t>
  </si>
  <si>
    <t>Rua Maranhão, 64, Pituba, Salvador - BA, 41830-260</t>
  </si>
  <si>
    <t>GIGA ATACADO Barra Funda</t>
  </si>
  <si>
    <t>R. Koshun Takara, 900, 026‍71-110, São Paulo - SP</t>
  </si>
  <si>
    <t>GIGA ATACADO Cachoeirinha</t>
  </si>
  <si>
    <t>Rod. Dom Pedro I, KM 139, 13082-901, Campinas - SP</t>
  </si>
  <si>
    <t>GIGA ATACADO Campinas</t>
  </si>
  <si>
    <t>Av Pres. Tancredo de Almeida Neves, 568, 07112-070, Guarulhos - SP</t>
  </si>
  <si>
    <t>GIGA ATACADO Guarulhos</t>
  </si>
  <si>
    <t>Av. Otaviano Alves de Lima, 2758, 02701-000, São Paulo - SP</t>
  </si>
  <si>
    <t>GIGA ATACADO Limão</t>
  </si>
  <si>
    <t>Alameda Araguaia, 2879, 06455-000, Barueri - SP</t>
  </si>
  <si>
    <t>GIGA ATACADO Tamboré</t>
  </si>
  <si>
    <t>SP-270 (Rodovia Raposo Tavares), 21360, 06709-470, Cotia - SP</t>
  </si>
  <si>
    <t>GIGA ATACADO Raposo</t>
  </si>
  <si>
    <t>R. Zuferey, 280, 13202-265, Jundiaí - SP</t>
  </si>
  <si>
    <t>GIGA ATACADO Jundiaí</t>
  </si>
  <si>
    <t>GIGA ATACADO Carapicuíba</t>
  </si>
  <si>
    <t>R. Bárbara Hipólito Capriotti, 06395-000, Carapicuíba - SP</t>
  </si>
  <si>
    <t>GIGA ATACADO Tremembé</t>
  </si>
  <si>
    <t>R. Sorocaba, 285, 13222-005, Várzea Paulista - SP</t>
  </si>
  <si>
    <t>GIGA ATACADO Várzea Paulista</t>
  </si>
  <si>
    <t>Av. dos Remédios, 2555, 05107-002, São Paulo - SP</t>
  </si>
  <si>
    <t>GIGA ATACADO Osasco</t>
  </si>
  <si>
    <t>Av. das Nações Unidas, 16461, 04795-100, São Paulo - SP</t>
  </si>
  <si>
    <t>GIGA ATACADO Nações Unidas</t>
  </si>
  <si>
    <t>Av. das Américas, 16100 - loja 16 - Recreio dos Bandeirantes, Rio de Janeiro - RJ, 22790-704</t>
  </si>
  <si>
    <t>SPID Recreio</t>
  </si>
  <si>
    <t>SPID Glória</t>
  </si>
  <si>
    <t>R. da Glória, 214 - Glória, Rio de Janeiro - RJ, 20241-180</t>
  </si>
  <si>
    <t>SPID Farme de Amoedo</t>
  </si>
  <si>
    <t>R. Farme de Amoedo, 83 - Ipanema, Rio de Janeiro - RJ, 22420-020</t>
  </si>
  <si>
    <t>SPID Metrô Carioca</t>
  </si>
  <si>
    <t>Av. Rio Branco, 156 - loja 779 - Metrô Carioca, Rio de Janeiro - RJ, 20040-901</t>
  </si>
  <si>
    <t>Spid Nelson Mandela</t>
  </si>
  <si>
    <t>R. Nelson Mandela, 100 - loja 116 - Botafogo, Rio de Janeiro - RJ, 22260-005</t>
  </si>
  <si>
    <t>SPID Méier</t>
  </si>
  <si>
    <t>R. Dias da Cruz, 579 - Méier, Rio de Janeiro - RJ, 20720-011</t>
  </si>
  <si>
    <t>SPID Alphamall</t>
  </si>
  <si>
    <t>R. Paulo Moura, 50 - lojas 115-118 - Barra da Tijuca, Rio de Janeiro - RJ, 22793-237</t>
  </si>
  <si>
    <t>MAIS BARATO</t>
  </si>
  <si>
    <t>Rede Supermercado Mais Barato LTDA</t>
  </si>
  <si>
    <t>Estrada Do Tapana, 597, Tapana, Belém - PA, 668525-010</t>
  </si>
  <si>
    <t>13.269.933/0001-20</t>
  </si>
  <si>
    <t>13.269.933/0002-01</t>
  </si>
  <si>
    <t>Avenida Alcindo Cacela, 1848, Nazare, Belém - PA, 66040-020</t>
  </si>
  <si>
    <t>13.269.933/0003-92</t>
  </si>
  <si>
    <t>Avenida Governador Jose Malcher, 2388, São Bras, Belém - PA, 66060-232</t>
  </si>
  <si>
    <t>13.269.933/0004-73</t>
  </si>
  <si>
    <t>Estrada Do Tapana, SN, Tapana (Icoaraci), Belém - PA, 66825-010</t>
  </si>
  <si>
    <t>13.269.933/0005-54</t>
  </si>
  <si>
    <t>Avenida Conselheiro Furtado, 577, Batista Campos, Belém - PA, 66025-160</t>
  </si>
  <si>
    <t>13.269.933/0006-35</t>
  </si>
  <si>
    <t>Rodovia Do Mangueirao, 1986, Shp Bosque Grao Para, Belém - PA, 66640-480</t>
  </si>
  <si>
    <t>44.951.935/0001-29</t>
  </si>
  <si>
    <t>The Wine Experience Mb Food LTDA</t>
  </si>
  <si>
    <t>Avenida Alcindo Cacela, 1848, Andar 2,Nazare, Belém - PA, 66040-020</t>
  </si>
  <si>
    <t>44.951.935/0002-00</t>
  </si>
  <si>
    <t>Avenida Governador Jose Malcher, 2388, Andar 1,Sao Bras, Belém - PA, 66060-232</t>
  </si>
  <si>
    <t>Villa Plaza Mb Food LTDA</t>
  </si>
  <si>
    <t>44.951.935/0003-90</t>
  </si>
  <si>
    <t>Casarao 288 Mb Food LTDA</t>
  </si>
  <si>
    <t>Avenida Governador Magalhaes Barata, 288 298 292 314 304 308, Nazare, Belém - PA, 66040-170</t>
  </si>
  <si>
    <t>39.346.861/0082-27</t>
  </si>
  <si>
    <t>39.346.861/0081-46</t>
  </si>
  <si>
    <t>Av. Rio Branco , 614 A, 57305-025, Arapiraca - AL</t>
  </si>
  <si>
    <t>39.346.861/0086-50</t>
  </si>
  <si>
    <t>39.346.861/0098-94</t>
  </si>
  <si>
    <t>39.346.861/0123-30</t>
  </si>
  <si>
    <t>39.346.861/0163-27</t>
  </si>
  <si>
    <t>Av Menino Marcelo, S/N, 57073-470, Maceió - AL</t>
  </si>
  <si>
    <t>39.346.861/0439-95</t>
  </si>
  <si>
    <t>39.346.861/0217-54</t>
  </si>
  <si>
    <t>39.346.861/0427-51</t>
  </si>
  <si>
    <t>39.346.861/0182-90</t>
  </si>
  <si>
    <t>39.346.861/0070-93</t>
  </si>
  <si>
    <t>39.346.861/0111-04</t>
  </si>
  <si>
    <t>39.346.861/0113-68</t>
  </si>
  <si>
    <t>PERINI COSTA AZUL</t>
  </si>
  <si>
    <t>G. Barbosa - Filial 71</t>
  </si>
  <si>
    <t>Rua Arthur de Azevedo Machado, 3443, Costa Azul, Salvador - BA, 41760-000</t>
  </si>
  <si>
    <t>39.346.861/0079-21</t>
  </si>
  <si>
    <t>39.346.861/0432-19</t>
  </si>
  <si>
    <t>39.346.861/0138-16</t>
  </si>
  <si>
    <t>09.182.947/0011-07</t>
  </si>
  <si>
    <t>09.182.947/0001-35</t>
  </si>
  <si>
    <t>09.182.947/0010-26</t>
  </si>
  <si>
    <t>09.182.947/0015-30</t>
  </si>
  <si>
    <t>09.182.947/0016-11</t>
  </si>
  <si>
    <t>Av. Santos Dumont, 2140 - Jardim dos Passaros, Lauro de Freitas - BA, 42700-000</t>
  </si>
  <si>
    <t>09.182.947/0009-92</t>
  </si>
  <si>
    <t>11.965.515/0008-19</t>
  </si>
  <si>
    <t>11.965.515/0009-08</t>
  </si>
  <si>
    <t>11.965.515/0013-86</t>
  </si>
  <si>
    <t>39.346.861/0050-40</t>
  </si>
  <si>
    <t>39.346.861/0080-65</t>
  </si>
  <si>
    <t>39.346.861/0197-76</t>
  </si>
  <si>
    <t>39.346.861/0144-64</t>
  </si>
  <si>
    <t>39.346.861/0415-18</t>
  </si>
  <si>
    <t>39.346.861/0045-82</t>
  </si>
  <si>
    <t>39.346.861/0136-54</t>
  </si>
  <si>
    <t>39.346.861/0263-90</t>
  </si>
  <si>
    <t>09.182.947/0012-98</t>
  </si>
  <si>
    <t>09.182.947/0002-16</t>
  </si>
  <si>
    <t>09.182.947/0006-40</t>
  </si>
  <si>
    <t>39.346.861/0202-78</t>
  </si>
  <si>
    <t>39.346.861/0175-60</t>
  </si>
  <si>
    <t>39.346.861/0171-37</t>
  </si>
  <si>
    <t>39.346.861/0154-36</t>
  </si>
  <si>
    <t>39.346.861/0158-60</t>
  </si>
  <si>
    <t>39.346.861/0422-47</t>
  </si>
  <si>
    <t>39.346.861/0178-03</t>
  </si>
  <si>
    <t>39.346.861/0044-00</t>
  </si>
  <si>
    <t>39.346.861/0042-30</t>
  </si>
  <si>
    <t>39.346.861/0039-34</t>
  </si>
  <si>
    <t>39.346.861/0037-72</t>
  </si>
  <si>
    <t>39.346.861/0035-00</t>
  </si>
  <si>
    <t>39.346.861/0031-87</t>
  </si>
  <si>
    <t>39.346.861/0017-29</t>
  </si>
  <si>
    <t>39.346.861/0016-48</t>
  </si>
  <si>
    <t>39.346.861/0021-05</t>
  </si>
  <si>
    <t>39.346.861/0022-96</t>
  </si>
  <si>
    <t>39.346.861/0023-77</t>
  </si>
  <si>
    <t>39.346.861/0030-04</t>
  </si>
  <si>
    <t>39.346.861/0038-53</t>
  </si>
  <si>
    <t>39.346.861/0072-55</t>
  </si>
  <si>
    <t>Av. Melício Machado, 1060, 49037-440, Aracaju - SE</t>
  </si>
  <si>
    <t>39.346.861/0103-96</t>
  </si>
  <si>
    <t>39.346.861/0116-00</t>
  </si>
  <si>
    <t>39.346.861/0118-72</t>
  </si>
  <si>
    <t>39.346.861/0451-81</t>
  </si>
  <si>
    <t>39.346.861/0010-52</t>
  </si>
  <si>
    <t>39.346.861/0014-86</t>
  </si>
  <si>
    <t>39.346.861/0011-33</t>
  </si>
  <si>
    <t>39.346.861/0092-07</t>
  </si>
  <si>
    <t>39.346.861/0041-59</t>
  </si>
  <si>
    <t>39.346.861/0148-98</t>
  </si>
  <si>
    <t>39.346.861/0009-19</t>
  </si>
  <si>
    <t>39.346.861/0140-30</t>
  </si>
  <si>
    <t>39.346.861/0043-10</t>
  </si>
  <si>
    <t>Avenida Ayrton Senna, S/N, Conj. Rosa Maria, São Cristóvão - SE, 49100-000</t>
  </si>
  <si>
    <t>39.346.861/0058-05</t>
  </si>
  <si>
    <t>39.346.861/0012-14</t>
  </si>
  <si>
    <t>39.346.861/0377-58</t>
  </si>
  <si>
    <t>39.346.861/0008-38</t>
  </si>
  <si>
    <t>09.182.947/0004-88</t>
  </si>
  <si>
    <t>09.182.947/0018-83</t>
  </si>
  <si>
    <t>Av. Cel. Sezefredo Fagundes, 1928,02306-002, São Paulo - SP</t>
  </si>
  <si>
    <t>Av. Pres. Castelo Branco, 4233, 011‍42-300, São Paulo - SP</t>
  </si>
  <si>
    <t>09.182.947/0024-21</t>
  </si>
  <si>
    <t>09.182.947/0028-55</t>
  </si>
  <si>
    <t>09.182.947/0019-64</t>
  </si>
  <si>
    <t>09.182.947/0032-31</t>
  </si>
  <si>
    <t>09.182.947/0023-40</t>
  </si>
  <si>
    <t>09.182.947/0036-65</t>
  </si>
  <si>
    <t>09.182.947/0021-89</t>
  </si>
  <si>
    <t>09.182.947/0027-74</t>
  </si>
  <si>
    <t>09.182.947/0029-36</t>
  </si>
  <si>
    <t>09.182.947/0022-60</t>
  </si>
  <si>
    <t>09.182.947/0026-93</t>
  </si>
  <si>
    <t>39.346.861/0381-34</t>
  </si>
  <si>
    <t>39.346.861/0384-87</t>
  </si>
  <si>
    <t>39.346.861/0387-20</t>
  </si>
  <si>
    <t>39.346.861/0388-00</t>
  </si>
  <si>
    <t>39.346.861/0389-91</t>
  </si>
  <si>
    <t>39.346.861/0390-25</t>
  </si>
  <si>
    <t>39.346.861/0391-06</t>
  </si>
  <si>
    <t>39.346.861/0394-59</t>
  </si>
  <si>
    <t>39.346.861/0395-30</t>
  </si>
  <si>
    <t>39.346.861/0396-10</t>
  </si>
  <si>
    <t>39.346.861/0400-31</t>
  </si>
  <si>
    <t>39.346.861/0403-84</t>
  </si>
  <si>
    <t>RUA BENTO CARDOSO, 313, 21215-000, RIO DE JANEIRO - RJ</t>
  </si>
  <si>
    <t>39.346.861/0404-65</t>
  </si>
  <si>
    <t>39.346.861/0406-27</t>
  </si>
  <si>
    <t>39.346.861/0413-56</t>
  </si>
  <si>
    <t>39.346.861/0414-37</t>
  </si>
  <si>
    <t>AVENIDA DAS AMÉRICAS, 13850, 22790-702, RIO DE JANEIRO - RJ</t>
  </si>
  <si>
    <t>39.346.861/0472-06</t>
  </si>
  <si>
    <t>39.346.861/0392-97</t>
  </si>
  <si>
    <t>AVENIDA MARECHAL FONTENELE, 5100, 21750-001, RIO DE JANEIRO - RJ</t>
  </si>
  <si>
    <t>39.346.861/0393-78</t>
  </si>
  <si>
    <t>39.346.861/0397-00</t>
  </si>
  <si>
    <t>39.346.861/0411-94</t>
  </si>
  <si>
    <t>39.346.861/0409-70</t>
  </si>
  <si>
    <t>39.346.861/0408-99</t>
  </si>
  <si>
    <t>39.346.861/0398-82</t>
  </si>
  <si>
    <t>39.346.861/0386-49</t>
  </si>
  <si>
    <t>39.346.861/0532-81</t>
  </si>
  <si>
    <t>39.346.861/0402-01</t>
  </si>
  <si>
    <t>39.346.861/0401-12</t>
  </si>
  <si>
    <t>Último PV</t>
  </si>
  <si>
    <t>Data da última venda</t>
  </si>
  <si>
    <t>Checklist de Projeto - Última Venda</t>
  </si>
  <si>
    <t>Funil da Última Venda</t>
  </si>
  <si>
    <t>Venda Simples</t>
  </si>
  <si>
    <t>Similaridade</t>
  </si>
  <si>
    <t>Projeto Preliminar</t>
  </si>
  <si>
    <t>Estimativa</t>
  </si>
  <si>
    <t>Projeto Executivo</t>
  </si>
  <si>
    <t>ILUMINAÇÃO - Vendas</t>
  </si>
  <si>
    <t/>
  </si>
  <si>
    <t>Valor</t>
  </si>
  <si>
    <t>Teve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</si>
</sst>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596573"/>
      <name val="IBM Plex Sans"/>
    </font>
    <font>
      <sz val="10"/>
      <color rgb="FF1C1B25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AB3F6-43DA-4AF8-B2B9-B321245A023C}" name="Tabela1" displayName="Tabela1" ref="A1:L355" totalsRowShown="0" headerRowDxfId="8">
  <autoFilter ref="A1:L355" xr:uid="{57FAB3F6-43DA-4AF8-B2B9-B321245A023C}"/>
  <sortState xmlns:xlrd2="http://schemas.microsoft.com/office/spreadsheetml/2017/richdata2" ref="A281:F312">
    <sortCondition ref="C1:C355"/>
  </sortState>
  <tableColumns count="12">
    <tableColumn id="1" xr3:uid="{E4904F7E-3FEA-4144-B80F-2B97C451EC0B}" name="Rede"/>
    <tableColumn id="2" xr3:uid="{1B291ED3-9E5C-4B58-8E6B-C2C69FD69F53}" name="Loja"/>
    <tableColumn id="3" xr3:uid="{6A398E38-CD4A-4C08-A8F2-6D89918FEE3A}" name="Endereço"/>
    <tableColumn id="4" xr3:uid="{2EEB3ADC-6F23-43BC-94DF-DCFC9F8AAFB9}" name="CNPJ"/>
    <tableColumn id="5" xr3:uid="{F7D01EC4-BB8B-4E38-9AC4-3872D8BD570A}" name="Latitude" dataDxfId="7"/>
    <tableColumn id="6" xr3:uid="{828A95CD-21EB-4B8E-A893-80AEB2201B13}" name="Longitude" dataDxfId="6"/>
    <tableColumn id="7" xr3:uid="{08970244-29D3-41A6-8CEA-E354BAC20576}" name="Último PV" dataDxfId="5"/>
    <tableColumn id="8" xr3:uid="{3F0E5616-563E-425E-AB48-922AAA3E6822}" name="Data da última venda" dataDxfId="4"/>
    <tableColumn id="11" xr3:uid="{B5081BF0-581F-4DD9-97C5-CC19900DC3FC}" name="Funil da Última Venda" dataDxfId="3"/>
    <tableColumn id="10" xr3:uid="{2B4A35B9-4A53-4726-9716-79BAF141BEDE}" name="Checklist de Projeto - Última Venda" dataDxfId="2"/>
    <tableColumn id="13" xr3:uid="{4D665FD0-D739-4F45-9E61-318B3A8AB6F3}" name="Teve venda" dataDxfId="0">
      <calculatedColumnFormula>IF(Tabela1[[#This Row],[Último PV]]&lt;&gt;"","Sim","Nao")</calculatedColumnFormula>
    </tableColumn>
    <tableColumn id="9" xr3:uid="{D596E9E1-4737-4A35-8328-4FE523797C7F}" name="Valor" dataDxfId="1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CC3A-EDE8-45BA-A228-98AA26903D7E}">
  <dimension ref="A1:L355"/>
  <sheetViews>
    <sheetView showGridLines="0" tabSelected="1" topLeftCell="D1" zoomScale="90" zoomScaleNormal="90" workbookViewId="0">
      <selection activeCell="K2" sqref="K2"/>
    </sheetView>
  </sheetViews>
  <sheetFormatPr defaultRowHeight="15" x14ac:dyDescent="0.25"/>
  <cols>
    <col min="1" max="1" width="24.28515625" customWidth="1"/>
    <col min="2" max="2" width="50.140625" bestFit="1" customWidth="1"/>
    <col min="3" max="3" width="87.28515625" bestFit="1" customWidth="1"/>
    <col min="4" max="4" width="29.7109375" customWidth="1"/>
    <col min="5" max="6" width="21.7109375" bestFit="1" customWidth="1"/>
    <col min="7" max="7" width="14.140625" bestFit="1" customWidth="1"/>
    <col min="8" max="8" width="20" style="6" customWidth="1"/>
    <col min="9" max="9" width="23.7109375" style="6" customWidth="1"/>
    <col min="10" max="11" width="21.28515625" customWidth="1"/>
    <col min="12" max="12" width="15.42578125" bestFit="1" customWidth="1"/>
  </cols>
  <sheetData>
    <row r="1" spans="1:12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416</v>
      </c>
      <c r="F1" s="1" t="s">
        <v>417</v>
      </c>
      <c r="G1" s="8" t="s">
        <v>875</v>
      </c>
      <c r="H1" s="8" t="s">
        <v>876</v>
      </c>
      <c r="I1" s="8" t="s">
        <v>878</v>
      </c>
      <c r="J1" s="1" t="s">
        <v>877</v>
      </c>
      <c r="K1" s="1" t="s">
        <v>887</v>
      </c>
      <c r="L1" s="1" t="s">
        <v>886</v>
      </c>
    </row>
    <row r="2" spans="1:12" x14ac:dyDescent="0.25">
      <c r="A2" t="s">
        <v>7</v>
      </c>
      <c r="B2" t="s">
        <v>4</v>
      </c>
      <c r="C2" t="s">
        <v>9</v>
      </c>
      <c r="D2" t="s">
        <v>6</v>
      </c>
      <c r="G2" s="6">
        <v>8913</v>
      </c>
      <c r="H2" s="7">
        <v>45747</v>
      </c>
      <c r="I2" s="7" t="s">
        <v>884</v>
      </c>
      <c r="J2" t="s">
        <v>883</v>
      </c>
      <c r="K2" t="str">
        <f>IF(Tabela1[[#This Row],[Último PV]]&lt;&gt;"","Sim","Nao")</f>
        <v>Sim</v>
      </c>
      <c r="L2" s="9">
        <v>23799.75</v>
      </c>
    </row>
    <row r="3" spans="1:12" x14ac:dyDescent="0.25">
      <c r="A3" t="s">
        <v>7</v>
      </c>
      <c r="B3" t="s">
        <v>5</v>
      </c>
      <c r="C3" t="s">
        <v>10</v>
      </c>
      <c r="D3" t="s">
        <v>8</v>
      </c>
      <c r="G3" s="6" t="s">
        <v>885</v>
      </c>
      <c r="H3" s="7" t="s">
        <v>885</v>
      </c>
      <c r="I3" s="7" t="s">
        <v>885</v>
      </c>
      <c r="K3" t="str">
        <f>IF(Tabela1[[#This Row],[Último PV]]&lt;&gt;"","Sim","Nao")</f>
        <v>Nao</v>
      </c>
      <c r="L3" s="9" t="s">
        <v>885</v>
      </c>
    </row>
    <row r="4" spans="1:12" x14ac:dyDescent="0.25">
      <c r="A4" t="s">
        <v>7</v>
      </c>
      <c r="B4" t="s">
        <v>51</v>
      </c>
      <c r="C4" t="s">
        <v>11</v>
      </c>
      <c r="D4" t="s">
        <v>12</v>
      </c>
      <c r="G4" s="6" t="s">
        <v>885</v>
      </c>
      <c r="H4" s="7" t="s">
        <v>885</v>
      </c>
      <c r="I4" s="7" t="s">
        <v>885</v>
      </c>
      <c r="K4" t="str">
        <f>IF(Tabela1[[#This Row],[Último PV]]&lt;&gt;"","Sim","Nao")</f>
        <v>Nao</v>
      </c>
      <c r="L4" s="9" t="s">
        <v>885</v>
      </c>
    </row>
    <row r="5" spans="1:12" x14ac:dyDescent="0.25">
      <c r="A5" t="s">
        <v>7</v>
      </c>
      <c r="B5" t="s">
        <v>52</v>
      </c>
      <c r="C5" t="s">
        <v>13</v>
      </c>
      <c r="D5" t="s">
        <v>14</v>
      </c>
      <c r="G5" s="6">
        <v>10100</v>
      </c>
      <c r="H5" s="7">
        <v>45960</v>
      </c>
      <c r="I5" s="7" t="s">
        <v>884</v>
      </c>
      <c r="J5" t="s">
        <v>879</v>
      </c>
      <c r="K5" t="str">
        <f>IF(Tabela1[[#This Row],[Último PV]]&lt;&gt;"","Sim","Nao")</f>
        <v>Sim</v>
      </c>
      <c r="L5" s="9">
        <v>5762.79</v>
      </c>
    </row>
    <row r="6" spans="1:12" x14ac:dyDescent="0.25">
      <c r="A6" t="s">
        <v>7</v>
      </c>
      <c r="B6" t="s">
        <v>53</v>
      </c>
      <c r="C6" t="s">
        <v>15</v>
      </c>
      <c r="D6" t="s">
        <v>16</v>
      </c>
      <c r="G6" s="6" t="s">
        <v>885</v>
      </c>
      <c r="H6" s="7" t="s">
        <v>885</v>
      </c>
      <c r="I6" s="7" t="s">
        <v>885</v>
      </c>
      <c r="K6" t="str">
        <f>IF(Tabela1[[#This Row],[Último PV]]&lt;&gt;"","Sim","Nao")</f>
        <v>Nao</v>
      </c>
      <c r="L6" s="9" t="s">
        <v>885</v>
      </c>
    </row>
    <row r="7" spans="1:12" x14ac:dyDescent="0.25">
      <c r="A7" t="s">
        <v>7</v>
      </c>
      <c r="B7" t="s">
        <v>54</v>
      </c>
      <c r="C7" t="s">
        <v>17</v>
      </c>
      <c r="D7" t="s">
        <v>18</v>
      </c>
      <c r="G7" s="6" t="s">
        <v>885</v>
      </c>
      <c r="H7" s="7" t="s">
        <v>885</v>
      </c>
      <c r="I7" s="7" t="s">
        <v>885</v>
      </c>
      <c r="K7" t="str">
        <f>IF(Tabela1[[#This Row],[Último PV]]&lt;&gt;"","Sim","Nao")</f>
        <v>Nao</v>
      </c>
      <c r="L7" s="9" t="s">
        <v>885</v>
      </c>
    </row>
    <row r="8" spans="1:12" x14ac:dyDescent="0.25">
      <c r="A8" t="s">
        <v>7</v>
      </c>
      <c r="B8" t="s">
        <v>55</v>
      </c>
      <c r="C8" t="s">
        <v>19</v>
      </c>
      <c r="D8" t="s">
        <v>20</v>
      </c>
      <c r="G8" s="6">
        <v>8244</v>
      </c>
      <c r="H8" s="7">
        <v>45610</v>
      </c>
      <c r="I8" s="7" t="s">
        <v>884</v>
      </c>
      <c r="J8" t="s">
        <v>879</v>
      </c>
      <c r="K8" t="str">
        <f>IF(Tabela1[[#This Row],[Último PV]]&lt;&gt;"","Sim","Nao")</f>
        <v>Sim</v>
      </c>
      <c r="L8" s="9">
        <v>1749.6</v>
      </c>
    </row>
    <row r="9" spans="1:12" x14ac:dyDescent="0.25">
      <c r="A9" t="s">
        <v>7</v>
      </c>
      <c r="B9" t="s">
        <v>56</v>
      </c>
      <c r="C9" t="s">
        <v>21</v>
      </c>
      <c r="D9" t="s">
        <v>22</v>
      </c>
      <c r="G9" s="6" t="s">
        <v>885</v>
      </c>
      <c r="H9" s="7" t="s">
        <v>885</v>
      </c>
      <c r="I9" s="7" t="s">
        <v>885</v>
      </c>
      <c r="K9" t="str">
        <f>IF(Tabela1[[#This Row],[Último PV]]&lt;&gt;"","Sim","Nao")</f>
        <v>Nao</v>
      </c>
      <c r="L9" s="9" t="s">
        <v>885</v>
      </c>
    </row>
    <row r="10" spans="1:12" x14ac:dyDescent="0.25">
      <c r="A10" t="s">
        <v>7</v>
      </c>
      <c r="B10" t="s">
        <v>57</v>
      </c>
      <c r="C10" t="s">
        <v>23</v>
      </c>
      <c r="D10" t="s">
        <v>24</v>
      </c>
      <c r="G10" s="6">
        <v>8391</v>
      </c>
      <c r="H10" s="7">
        <v>45642</v>
      </c>
      <c r="I10" s="7" t="s">
        <v>884</v>
      </c>
      <c r="J10" t="s">
        <v>879</v>
      </c>
      <c r="K10" t="str">
        <f>IF(Tabela1[[#This Row],[Último PV]]&lt;&gt;"","Sim","Nao")</f>
        <v>Sim</v>
      </c>
      <c r="L10" s="9">
        <v>38510.11</v>
      </c>
    </row>
    <row r="11" spans="1:12" x14ac:dyDescent="0.25">
      <c r="A11" t="s">
        <v>7</v>
      </c>
      <c r="B11" t="s">
        <v>58</v>
      </c>
      <c r="C11" t="s">
        <v>25</v>
      </c>
      <c r="D11" t="s">
        <v>26</v>
      </c>
      <c r="G11" s="6">
        <v>10001</v>
      </c>
      <c r="H11" s="7">
        <v>45939</v>
      </c>
      <c r="I11" s="7" t="s">
        <v>884</v>
      </c>
      <c r="J11" t="s">
        <v>879</v>
      </c>
      <c r="K11" t="str">
        <f>IF(Tabela1[[#This Row],[Último PV]]&lt;&gt;"","Sim","Nao")</f>
        <v>Sim</v>
      </c>
      <c r="L11" s="9">
        <v>11825.9</v>
      </c>
    </row>
    <row r="12" spans="1:12" x14ac:dyDescent="0.25">
      <c r="A12" t="s">
        <v>7</v>
      </c>
      <c r="B12" t="s">
        <v>59</v>
      </c>
      <c r="C12" t="s">
        <v>27</v>
      </c>
      <c r="D12" t="s">
        <v>28</v>
      </c>
      <c r="G12" s="6" t="s">
        <v>885</v>
      </c>
      <c r="H12" s="7" t="s">
        <v>885</v>
      </c>
      <c r="I12" s="7" t="s">
        <v>885</v>
      </c>
      <c r="K12" t="str">
        <f>IF(Tabela1[[#This Row],[Último PV]]&lt;&gt;"","Sim","Nao")</f>
        <v>Nao</v>
      </c>
      <c r="L12" s="9" t="s">
        <v>885</v>
      </c>
    </row>
    <row r="13" spans="1:12" x14ac:dyDescent="0.25">
      <c r="A13" t="s">
        <v>7</v>
      </c>
      <c r="B13" t="s">
        <v>60</v>
      </c>
      <c r="C13" t="s">
        <v>29</v>
      </c>
      <c r="D13" t="s">
        <v>30</v>
      </c>
      <c r="G13" s="6" t="s">
        <v>885</v>
      </c>
      <c r="H13" s="7" t="s">
        <v>885</v>
      </c>
      <c r="I13" s="7" t="s">
        <v>885</v>
      </c>
      <c r="K13" t="str">
        <f>IF(Tabela1[[#This Row],[Último PV]]&lt;&gt;"","Sim","Nao")</f>
        <v>Nao</v>
      </c>
      <c r="L13" s="9" t="s">
        <v>885</v>
      </c>
    </row>
    <row r="14" spans="1:12" x14ac:dyDescent="0.25">
      <c r="A14" t="s">
        <v>7</v>
      </c>
      <c r="B14" t="s">
        <v>61</v>
      </c>
      <c r="C14" t="s">
        <v>31</v>
      </c>
      <c r="D14" t="s">
        <v>32</v>
      </c>
      <c r="G14" s="6" t="s">
        <v>885</v>
      </c>
      <c r="H14" s="7" t="s">
        <v>885</v>
      </c>
      <c r="I14" s="7" t="s">
        <v>885</v>
      </c>
      <c r="K14" t="str">
        <f>IF(Tabela1[[#This Row],[Último PV]]&lt;&gt;"","Sim","Nao")</f>
        <v>Nao</v>
      </c>
      <c r="L14" s="9" t="s">
        <v>885</v>
      </c>
    </row>
    <row r="15" spans="1:12" x14ac:dyDescent="0.25">
      <c r="A15" t="s">
        <v>7</v>
      </c>
      <c r="B15" t="s">
        <v>62</v>
      </c>
      <c r="C15" t="s">
        <v>33</v>
      </c>
      <c r="D15" t="s">
        <v>34</v>
      </c>
      <c r="G15" s="6" t="s">
        <v>885</v>
      </c>
      <c r="H15" s="7" t="s">
        <v>885</v>
      </c>
      <c r="I15" s="7" t="s">
        <v>885</v>
      </c>
      <c r="K15" t="str">
        <f>IF(Tabela1[[#This Row],[Último PV]]&lt;&gt;"","Sim","Nao")</f>
        <v>Nao</v>
      </c>
      <c r="L15" s="9" t="s">
        <v>885</v>
      </c>
    </row>
    <row r="16" spans="1:12" x14ac:dyDescent="0.25">
      <c r="A16" t="s">
        <v>7</v>
      </c>
      <c r="B16" t="s">
        <v>63</v>
      </c>
      <c r="C16" t="s">
        <v>35</v>
      </c>
      <c r="D16" t="s">
        <v>36</v>
      </c>
      <c r="G16" s="6" t="s">
        <v>885</v>
      </c>
      <c r="H16" s="7" t="s">
        <v>885</v>
      </c>
      <c r="I16" s="7" t="s">
        <v>885</v>
      </c>
      <c r="K16" t="str">
        <f>IF(Tabela1[[#This Row],[Último PV]]&lt;&gt;"","Sim","Nao")</f>
        <v>Nao</v>
      </c>
      <c r="L16" s="9" t="s">
        <v>885</v>
      </c>
    </row>
    <row r="17" spans="1:12" x14ac:dyDescent="0.25">
      <c r="A17" t="s">
        <v>7</v>
      </c>
      <c r="B17" t="s">
        <v>64</v>
      </c>
      <c r="C17" t="s">
        <v>37</v>
      </c>
      <c r="D17" t="s">
        <v>38</v>
      </c>
      <c r="G17" s="6">
        <v>8912</v>
      </c>
      <c r="H17" s="7">
        <v>45747</v>
      </c>
      <c r="I17" s="7" t="s">
        <v>884</v>
      </c>
      <c r="J17" t="s">
        <v>883</v>
      </c>
      <c r="K17" t="str">
        <f>IF(Tabela1[[#This Row],[Último PV]]&lt;&gt;"","Sim","Nao")</f>
        <v>Sim</v>
      </c>
      <c r="L17" s="9">
        <v>55382.49</v>
      </c>
    </row>
    <row r="18" spans="1:12" x14ac:dyDescent="0.25">
      <c r="A18" t="s">
        <v>7</v>
      </c>
      <c r="B18" t="s">
        <v>65</v>
      </c>
      <c r="C18" t="s">
        <v>39</v>
      </c>
      <c r="D18" t="s">
        <v>40</v>
      </c>
      <c r="G18" s="6" t="s">
        <v>885</v>
      </c>
      <c r="H18" s="7" t="s">
        <v>885</v>
      </c>
      <c r="I18" s="7" t="s">
        <v>885</v>
      </c>
      <c r="K18" t="str">
        <f>IF(Tabela1[[#This Row],[Último PV]]&lt;&gt;"","Sim","Nao")</f>
        <v>Nao</v>
      </c>
      <c r="L18" s="9" t="s">
        <v>885</v>
      </c>
    </row>
    <row r="19" spans="1:12" x14ac:dyDescent="0.25">
      <c r="A19" t="s">
        <v>7</v>
      </c>
      <c r="B19" t="s">
        <v>66</v>
      </c>
      <c r="C19" t="s">
        <v>41</v>
      </c>
      <c r="D19" t="s">
        <v>42</v>
      </c>
      <c r="G19" s="6" t="s">
        <v>885</v>
      </c>
      <c r="H19" s="7" t="s">
        <v>885</v>
      </c>
      <c r="I19" s="7" t="s">
        <v>885</v>
      </c>
      <c r="K19" t="str">
        <f>IF(Tabela1[[#This Row],[Último PV]]&lt;&gt;"","Sim","Nao")</f>
        <v>Nao</v>
      </c>
      <c r="L19" s="9" t="s">
        <v>885</v>
      </c>
    </row>
    <row r="20" spans="1:12" x14ac:dyDescent="0.25">
      <c r="A20" t="s">
        <v>7</v>
      </c>
      <c r="B20" t="s">
        <v>67</v>
      </c>
      <c r="C20" t="s">
        <v>43</v>
      </c>
      <c r="D20" t="s">
        <v>44</v>
      </c>
      <c r="G20" s="6" t="s">
        <v>885</v>
      </c>
      <c r="H20" s="7" t="s">
        <v>885</v>
      </c>
      <c r="I20" s="7" t="s">
        <v>885</v>
      </c>
      <c r="K20" t="str">
        <f>IF(Tabela1[[#This Row],[Último PV]]&lt;&gt;"","Sim","Nao")</f>
        <v>Nao</v>
      </c>
      <c r="L20" s="9" t="s">
        <v>885</v>
      </c>
    </row>
    <row r="21" spans="1:12" x14ac:dyDescent="0.25">
      <c r="A21" t="s">
        <v>7</v>
      </c>
      <c r="B21" t="s">
        <v>68</v>
      </c>
      <c r="C21" t="s">
        <v>45</v>
      </c>
      <c r="D21" t="s">
        <v>46</v>
      </c>
      <c r="G21" s="6" t="s">
        <v>885</v>
      </c>
      <c r="H21" s="7" t="s">
        <v>885</v>
      </c>
      <c r="I21" s="7" t="s">
        <v>885</v>
      </c>
      <c r="K21" t="str">
        <f>IF(Tabela1[[#This Row],[Último PV]]&lt;&gt;"","Sim","Nao")</f>
        <v>Nao</v>
      </c>
      <c r="L21" s="9" t="s">
        <v>885</v>
      </c>
    </row>
    <row r="22" spans="1:12" x14ac:dyDescent="0.25">
      <c r="A22" t="s">
        <v>7</v>
      </c>
      <c r="B22" t="s">
        <v>69</v>
      </c>
      <c r="C22" t="s">
        <v>47</v>
      </c>
      <c r="D22" t="s">
        <v>48</v>
      </c>
      <c r="G22" s="6" t="s">
        <v>885</v>
      </c>
      <c r="H22" s="7" t="s">
        <v>885</v>
      </c>
      <c r="I22" s="7" t="s">
        <v>885</v>
      </c>
      <c r="K22" t="str">
        <f>IF(Tabela1[[#This Row],[Último PV]]&lt;&gt;"","Sim","Nao")</f>
        <v>Nao</v>
      </c>
      <c r="L22" s="9" t="s">
        <v>885</v>
      </c>
    </row>
    <row r="23" spans="1:12" x14ac:dyDescent="0.25">
      <c r="A23" t="s">
        <v>7</v>
      </c>
      <c r="B23" t="s">
        <v>70</v>
      </c>
      <c r="C23" t="s">
        <v>49</v>
      </c>
      <c r="D23" t="s">
        <v>50</v>
      </c>
      <c r="G23" s="6" t="s">
        <v>885</v>
      </c>
      <c r="H23" s="7" t="s">
        <v>885</v>
      </c>
      <c r="I23" s="7" t="s">
        <v>885</v>
      </c>
      <c r="K23" t="str">
        <f>IF(Tabela1[[#This Row],[Último PV]]&lt;&gt;"","Sim","Nao")</f>
        <v>Nao</v>
      </c>
      <c r="L23" s="9" t="s">
        <v>885</v>
      </c>
    </row>
    <row r="24" spans="1:12" x14ac:dyDescent="0.25">
      <c r="A24" t="s">
        <v>7</v>
      </c>
      <c r="B24" t="s">
        <v>71</v>
      </c>
      <c r="C24" t="s">
        <v>75</v>
      </c>
      <c r="D24" t="s">
        <v>76</v>
      </c>
      <c r="G24" s="6" t="s">
        <v>885</v>
      </c>
      <c r="H24" s="7" t="s">
        <v>885</v>
      </c>
      <c r="I24" s="7" t="s">
        <v>885</v>
      </c>
      <c r="K24" t="str">
        <f>IF(Tabela1[[#This Row],[Último PV]]&lt;&gt;"","Sim","Nao")</f>
        <v>Nao</v>
      </c>
      <c r="L24" s="9" t="s">
        <v>885</v>
      </c>
    </row>
    <row r="25" spans="1:12" x14ac:dyDescent="0.25">
      <c r="A25" t="s">
        <v>7</v>
      </c>
      <c r="B25" t="s">
        <v>72</v>
      </c>
      <c r="C25" t="s">
        <v>73</v>
      </c>
      <c r="D25" t="s">
        <v>74</v>
      </c>
      <c r="G25" s="6" t="s">
        <v>885</v>
      </c>
      <c r="H25" s="7" t="s">
        <v>885</v>
      </c>
      <c r="I25" s="7" t="s">
        <v>885</v>
      </c>
      <c r="K25" t="str">
        <f>IF(Tabela1[[#This Row],[Último PV]]&lt;&gt;"","Sim","Nao")</f>
        <v>Nao</v>
      </c>
      <c r="L25" s="9" t="s">
        <v>885</v>
      </c>
    </row>
    <row r="26" spans="1:12" x14ac:dyDescent="0.25">
      <c r="A26" t="s">
        <v>77</v>
      </c>
      <c r="B26" t="s">
        <v>78</v>
      </c>
      <c r="C26" t="s">
        <v>79</v>
      </c>
      <c r="G26" s="6" t="s">
        <v>885</v>
      </c>
      <c r="H26" s="7" t="s">
        <v>885</v>
      </c>
      <c r="I26" s="7" t="s">
        <v>885</v>
      </c>
      <c r="K26" t="str">
        <f>IF(Tabela1[[#This Row],[Último PV]]&lt;&gt;"","Sim","Nao")</f>
        <v>Nao</v>
      </c>
      <c r="L26" s="9" t="s">
        <v>885</v>
      </c>
    </row>
    <row r="27" spans="1:12" x14ac:dyDescent="0.25">
      <c r="A27" t="s">
        <v>77</v>
      </c>
      <c r="B27" t="s">
        <v>80</v>
      </c>
      <c r="C27" t="s">
        <v>81</v>
      </c>
      <c r="G27" s="6" t="s">
        <v>885</v>
      </c>
      <c r="H27" s="7" t="s">
        <v>885</v>
      </c>
      <c r="I27" s="7" t="s">
        <v>885</v>
      </c>
      <c r="K27" t="str">
        <f>IF(Tabela1[[#This Row],[Último PV]]&lt;&gt;"","Sim","Nao")</f>
        <v>Nao</v>
      </c>
      <c r="L27" s="9" t="s">
        <v>885</v>
      </c>
    </row>
    <row r="28" spans="1:12" x14ac:dyDescent="0.25">
      <c r="A28" t="s">
        <v>77</v>
      </c>
      <c r="B28" t="s">
        <v>83</v>
      </c>
      <c r="C28" t="s">
        <v>82</v>
      </c>
      <c r="G28" s="6" t="s">
        <v>885</v>
      </c>
      <c r="H28" s="7" t="s">
        <v>885</v>
      </c>
      <c r="I28" s="7" t="s">
        <v>885</v>
      </c>
      <c r="K28" t="str">
        <f>IF(Tabela1[[#This Row],[Último PV]]&lt;&gt;"","Sim","Nao")</f>
        <v>Nao</v>
      </c>
      <c r="L28" s="9" t="s">
        <v>885</v>
      </c>
    </row>
    <row r="29" spans="1:12" x14ac:dyDescent="0.25">
      <c r="A29" t="s">
        <v>77</v>
      </c>
      <c r="B29" t="s">
        <v>85</v>
      </c>
      <c r="C29" t="s">
        <v>84</v>
      </c>
      <c r="D29" t="s">
        <v>141</v>
      </c>
      <c r="G29" s="6" t="s">
        <v>885</v>
      </c>
      <c r="H29" s="7" t="s">
        <v>885</v>
      </c>
      <c r="I29" s="7" t="s">
        <v>885</v>
      </c>
      <c r="K29" t="str">
        <f>IF(Tabela1[[#This Row],[Último PV]]&lt;&gt;"","Sim","Nao")</f>
        <v>Nao</v>
      </c>
      <c r="L29" s="9" t="s">
        <v>885</v>
      </c>
    </row>
    <row r="30" spans="1:12" x14ac:dyDescent="0.25">
      <c r="A30" t="s">
        <v>77</v>
      </c>
      <c r="B30" s="3" t="s">
        <v>86</v>
      </c>
      <c r="C30" t="s">
        <v>120</v>
      </c>
      <c r="D30" t="s">
        <v>131</v>
      </c>
      <c r="G30" s="6" t="s">
        <v>885</v>
      </c>
      <c r="H30" s="7" t="s">
        <v>885</v>
      </c>
      <c r="I30" s="7" t="s">
        <v>885</v>
      </c>
      <c r="K30" t="str">
        <f>IF(Tabela1[[#This Row],[Último PV]]&lt;&gt;"","Sim","Nao")</f>
        <v>Nao</v>
      </c>
      <c r="L30" s="9" t="s">
        <v>885</v>
      </c>
    </row>
    <row r="31" spans="1:12" x14ac:dyDescent="0.25">
      <c r="A31" t="s">
        <v>77</v>
      </c>
      <c r="B31" s="3" t="s">
        <v>87</v>
      </c>
      <c r="C31" t="s">
        <v>121</v>
      </c>
      <c r="D31" t="s">
        <v>130</v>
      </c>
      <c r="G31" s="6" t="s">
        <v>885</v>
      </c>
      <c r="H31" s="7" t="s">
        <v>885</v>
      </c>
      <c r="I31" s="7" t="s">
        <v>885</v>
      </c>
      <c r="K31" t="str">
        <f>IF(Tabela1[[#This Row],[Último PV]]&lt;&gt;"","Sim","Nao")</f>
        <v>Nao</v>
      </c>
      <c r="L31" s="9" t="s">
        <v>885</v>
      </c>
    </row>
    <row r="32" spans="1:12" x14ac:dyDescent="0.25">
      <c r="A32" t="s">
        <v>77</v>
      </c>
      <c r="B32" t="s">
        <v>89</v>
      </c>
      <c r="C32" t="s">
        <v>88</v>
      </c>
      <c r="D32" t="s">
        <v>129</v>
      </c>
      <c r="G32" s="6" t="s">
        <v>885</v>
      </c>
      <c r="H32" s="7" t="s">
        <v>885</v>
      </c>
      <c r="I32" s="7" t="s">
        <v>885</v>
      </c>
      <c r="K32" t="str">
        <f>IF(Tabela1[[#This Row],[Último PV]]&lt;&gt;"","Sim","Nao")</f>
        <v>Nao</v>
      </c>
      <c r="L32" s="9" t="s">
        <v>885</v>
      </c>
    </row>
    <row r="33" spans="1:12" x14ac:dyDescent="0.25">
      <c r="A33" t="s">
        <v>77</v>
      </c>
      <c r="B33" t="s">
        <v>116</v>
      </c>
      <c r="C33" t="s">
        <v>122</v>
      </c>
      <c r="D33" t="s">
        <v>115</v>
      </c>
      <c r="G33" s="6" t="s">
        <v>885</v>
      </c>
      <c r="H33" s="7" t="s">
        <v>885</v>
      </c>
      <c r="I33" s="7" t="s">
        <v>885</v>
      </c>
      <c r="K33" t="str">
        <f>IF(Tabela1[[#This Row],[Último PV]]&lt;&gt;"","Sim","Nao")</f>
        <v>Nao</v>
      </c>
      <c r="L33" s="9" t="s">
        <v>885</v>
      </c>
    </row>
    <row r="34" spans="1:12" x14ac:dyDescent="0.25">
      <c r="A34" t="s">
        <v>77</v>
      </c>
      <c r="B34" t="s">
        <v>90</v>
      </c>
      <c r="C34" s="2" t="s">
        <v>123</v>
      </c>
      <c r="D34" t="s">
        <v>128</v>
      </c>
      <c r="G34" s="6" t="s">
        <v>885</v>
      </c>
      <c r="H34" s="7" t="s">
        <v>885</v>
      </c>
      <c r="I34" s="7" t="s">
        <v>885</v>
      </c>
      <c r="K34" t="str">
        <f>IF(Tabela1[[#This Row],[Último PV]]&lt;&gt;"","Sim","Nao")</f>
        <v>Nao</v>
      </c>
      <c r="L34" s="9" t="s">
        <v>885</v>
      </c>
    </row>
    <row r="35" spans="1:12" x14ac:dyDescent="0.25">
      <c r="A35" t="s">
        <v>77</v>
      </c>
      <c r="B35" t="s">
        <v>117</v>
      </c>
      <c r="C35" t="s">
        <v>118</v>
      </c>
      <c r="D35" t="s">
        <v>127</v>
      </c>
      <c r="G35" s="6" t="s">
        <v>885</v>
      </c>
      <c r="H35" s="7" t="s">
        <v>885</v>
      </c>
      <c r="I35" s="7" t="s">
        <v>885</v>
      </c>
      <c r="K35" t="str">
        <f>IF(Tabela1[[#This Row],[Último PV]]&lt;&gt;"","Sim","Nao")</f>
        <v>Nao</v>
      </c>
      <c r="L35" s="9" t="s">
        <v>885</v>
      </c>
    </row>
    <row r="36" spans="1:12" x14ac:dyDescent="0.25">
      <c r="A36" t="s">
        <v>77</v>
      </c>
      <c r="B36" t="s">
        <v>91</v>
      </c>
      <c r="C36" t="s">
        <v>92</v>
      </c>
      <c r="D36" t="s">
        <v>132</v>
      </c>
      <c r="G36" s="6" t="s">
        <v>885</v>
      </c>
      <c r="H36" s="7" t="s">
        <v>885</v>
      </c>
      <c r="I36" s="7" t="s">
        <v>885</v>
      </c>
      <c r="K36" t="str">
        <f>IF(Tabela1[[#This Row],[Último PV]]&lt;&gt;"","Sim","Nao")</f>
        <v>Nao</v>
      </c>
      <c r="L36" s="9" t="s">
        <v>885</v>
      </c>
    </row>
    <row r="37" spans="1:12" x14ac:dyDescent="0.25">
      <c r="A37" t="s">
        <v>77</v>
      </c>
      <c r="B37" t="s">
        <v>93</v>
      </c>
      <c r="C37" t="s">
        <v>94</v>
      </c>
      <c r="D37" t="s">
        <v>125</v>
      </c>
      <c r="G37" s="6" t="s">
        <v>885</v>
      </c>
      <c r="H37" s="7" t="s">
        <v>885</v>
      </c>
      <c r="I37" s="7" t="s">
        <v>885</v>
      </c>
      <c r="K37" t="str">
        <f>IF(Tabela1[[#This Row],[Último PV]]&lt;&gt;"","Sim","Nao")</f>
        <v>Nao</v>
      </c>
      <c r="L37" s="9" t="s">
        <v>885</v>
      </c>
    </row>
    <row r="38" spans="1:12" x14ac:dyDescent="0.25">
      <c r="A38" t="s">
        <v>77</v>
      </c>
      <c r="B38" t="s">
        <v>95</v>
      </c>
      <c r="C38" t="s">
        <v>96</v>
      </c>
      <c r="D38" t="s">
        <v>124</v>
      </c>
      <c r="G38" s="6" t="s">
        <v>885</v>
      </c>
      <c r="H38" s="7" t="s">
        <v>885</v>
      </c>
      <c r="I38" s="7" t="s">
        <v>885</v>
      </c>
      <c r="K38" t="str">
        <f>IF(Tabela1[[#This Row],[Último PV]]&lt;&gt;"","Sim","Nao")</f>
        <v>Nao</v>
      </c>
      <c r="L38" s="9" t="s">
        <v>885</v>
      </c>
    </row>
    <row r="39" spans="1:12" x14ac:dyDescent="0.25">
      <c r="A39" t="s">
        <v>77</v>
      </c>
      <c r="B39" t="s">
        <v>97</v>
      </c>
      <c r="C39" t="s">
        <v>98</v>
      </c>
      <c r="D39" t="s">
        <v>114</v>
      </c>
      <c r="G39" s="6" t="s">
        <v>885</v>
      </c>
      <c r="H39" s="7" t="s">
        <v>885</v>
      </c>
      <c r="I39" s="7" t="s">
        <v>885</v>
      </c>
      <c r="K39" t="str">
        <f>IF(Tabela1[[#This Row],[Último PV]]&lt;&gt;"","Sim","Nao")</f>
        <v>Nao</v>
      </c>
      <c r="L39" s="9" t="s">
        <v>885</v>
      </c>
    </row>
    <row r="40" spans="1:12" x14ac:dyDescent="0.25">
      <c r="A40" t="s">
        <v>77</v>
      </c>
      <c r="B40" t="s">
        <v>99</v>
      </c>
      <c r="C40" t="s">
        <v>100</v>
      </c>
      <c r="D40" t="s">
        <v>137</v>
      </c>
      <c r="G40" s="6" t="s">
        <v>885</v>
      </c>
      <c r="H40" s="7" t="s">
        <v>885</v>
      </c>
      <c r="I40" s="7" t="s">
        <v>885</v>
      </c>
      <c r="K40" t="str">
        <f>IF(Tabela1[[#This Row],[Último PV]]&lt;&gt;"","Sim","Nao")</f>
        <v>Nao</v>
      </c>
      <c r="L40" s="9" t="s">
        <v>885</v>
      </c>
    </row>
    <row r="41" spans="1:12" x14ac:dyDescent="0.25">
      <c r="A41" t="s">
        <v>77</v>
      </c>
      <c r="B41" t="s">
        <v>101</v>
      </c>
      <c r="C41" t="s">
        <v>134</v>
      </c>
      <c r="D41" t="s">
        <v>136</v>
      </c>
      <c r="G41" s="6" t="s">
        <v>885</v>
      </c>
      <c r="H41" s="7" t="s">
        <v>885</v>
      </c>
      <c r="I41" s="7" t="s">
        <v>885</v>
      </c>
      <c r="K41" t="str">
        <f>IF(Tabela1[[#This Row],[Último PV]]&lt;&gt;"","Sim","Nao")</f>
        <v>Nao</v>
      </c>
      <c r="L41" s="9" t="s">
        <v>885</v>
      </c>
    </row>
    <row r="42" spans="1:12" x14ac:dyDescent="0.25">
      <c r="A42" t="s">
        <v>77</v>
      </c>
      <c r="B42" t="s">
        <v>102</v>
      </c>
      <c r="C42" t="s">
        <v>103</v>
      </c>
      <c r="D42" t="s">
        <v>139</v>
      </c>
      <c r="G42" s="6" t="s">
        <v>885</v>
      </c>
      <c r="H42" s="7" t="s">
        <v>885</v>
      </c>
      <c r="I42" s="7" t="s">
        <v>885</v>
      </c>
      <c r="K42" t="str">
        <f>IF(Tabela1[[#This Row],[Último PV]]&lt;&gt;"","Sim","Nao")</f>
        <v>Nao</v>
      </c>
      <c r="L42" s="9" t="s">
        <v>885</v>
      </c>
    </row>
    <row r="43" spans="1:12" x14ac:dyDescent="0.25">
      <c r="A43" t="s">
        <v>77</v>
      </c>
      <c r="B43" t="s">
        <v>104</v>
      </c>
      <c r="C43" s="2" t="s">
        <v>105</v>
      </c>
      <c r="D43" t="s">
        <v>138</v>
      </c>
      <c r="G43" s="6" t="s">
        <v>885</v>
      </c>
      <c r="H43" s="7" t="s">
        <v>885</v>
      </c>
      <c r="I43" s="7" t="s">
        <v>885</v>
      </c>
      <c r="K43" t="str">
        <f>IF(Tabela1[[#This Row],[Último PV]]&lt;&gt;"","Sim","Nao")</f>
        <v>Nao</v>
      </c>
      <c r="L43" s="9" t="s">
        <v>885</v>
      </c>
    </row>
    <row r="44" spans="1:12" x14ac:dyDescent="0.25">
      <c r="A44" t="s">
        <v>77</v>
      </c>
      <c r="B44" t="s">
        <v>106</v>
      </c>
      <c r="C44" t="s">
        <v>107</v>
      </c>
      <c r="D44" t="s">
        <v>126</v>
      </c>
      <c r="G44" s="6" t="s">
        <v>885</v>
      </c>
      <c r="H44" s="7" t="s">
        <v>885</v>
      </c>
      <c r="I44" s="7" t="s">
        <v>885</v>
      </c>
      <c r="K44" t="str">
        <f>IF(Tabela1[[#This Row],[Último PV]]&lt;&gt;"","Sim","Nao")</f>
        <v>Nao</v>
      </c>
      <c r="L44" s="9" t="s">
        <v>885</v>
      </c>
    </row>
    <row r="45" spans="1:12" x14ac:dyDescent="0.25">
      <c r="A45" t="s">
        <v>77</v>
      </c>
      <c r="B45" t="s">
        <v>108</v>
      </c>
      <c r="C45" t="s">
        <v>109</v>
      </c>
      <c r="G45" s="6" t="s">
        <v>885</v>
      </c>
      <c r="H45" s="7" t="s">
        <v>885</v>
      </c>
      <c r="I45" s="7" t="s">
        <v>885</v>
      </c>
      <c r="K45" t="str">
        <f>IF(Tabela1[[#This Row],[Último PV]]&lt;&gt;"","Sim","Nao")</f>
        <v>Nao</v>
      </c>
      <c r="L45" s="9" t="s">
        <v>885</v>
      </c>
    </row>
    <row r="46" spans="1:12" x14ac:dyDescent="0.25">
      <c r="A46" t="s">
        <v>77</v>
      </c>
      <c r="B46" t="s">
        <v>110</v>
      </c>
      <c r="C46" t="s">
        <v>111</v>
      </c>
      <c r="D46" t="s">
        <v>140</v>
      </c>
      <c r="G46" s="6" t="s">
        <v>885</v>
      </c>
      <c r="H46" s="7" t="s">
        <v>885</v>
      </c>
      <c r="I46" s="7" t="s">
        <v>885</v>
      </c>
      <c r="K46" t="str">
        <f>IF(Tabela1[[#This Row],[Último PV]]&lt;&gt;"","Sim","Nao")</f>
        <v>Nao</v>
      </c>
      <c r="L46" s="9" t="s">
        <v>885</v>
      </c>
    </row>
    <row r="47" spans="1:12" x14ac:dyDescent="0.25">
      <c r="A47" t="s">
        <v>77</v>
      </c>
      <c r="B47" t="s">
        <v>112</v>
      </c>
      <c r="C47" t="s">
        <v>113</v>
      </c>
      <c r="G47" s="6" t="s">
        <v>885</v>
      </c>
      <c r="H47" s="7" t="s">
        <v>885</v>
      </c>
      <c r="I47" s="7" t="s">
        <v>885</v>
      </c>
      <c r="K47" t="str">
        <f>IF(Tabela1[[#This Row],[Último PV]]&lt;&gt;"","Sim","Nao")</f>
        <v>Nao</v>
      </c>
      <c r="L47" s="9" t="s">
        <v>885</v>
      </c>
    </row>
    <row r="48" spans="1:12" x14ac:dyDescent="0.25">
      <c r="A48" t="s">
        <v>77</v>
      </c>
      <c r="B48" t="s">
        <v>119</v>
      </c>
      <c r="C48" t="s">
        <v>133</v>
      </c>
      <c r="D48" t="s">
        <v>135</v>
      </c>
      <c r="G48" s="6" t="s">
        <v>885</v>
      </c>
      <c r="H48" s="7" t="s">
        <v>885</v>
      </c>
      <c r="I48" s="7" t="s">
        <v>885</v>
      </c>
      <c r="K48" t="str">
        <f>IF(Tabela1[[#This Row],[Último PV]]&lt;&gt;"","Sim","Nao")</f>
        <v>Nao</v>
      </c>
      <c r="L48" s="9" t="s">
        <v>885</v>
      </c>
    </row>
    <row r="49" spans="1:12" x14ac:dyDescent="0.25">
      <c r="A49" t="s">
        <v>142</v>
      </c>
      <c r="B49" t="s">
        <v>357</v>
      </c>
      <c r="C49" t="s">
        <v>256</v>
      </c>
      <c r="D49" t="s">
        <v>143</v>
      </c>
      <c r="G49" s="6" t="s">
        <v>885</v>
      </c>
      <c r="H49" s="7" t="s">
        <v>885</v>
      </c>
      <c r="I49" s="7" t="s">
        <v>885</v>
      </c>
      <c r="K49" t="str">
        <f>IF(Tabela1[[#This Row],[Último PV]]&lt;&gt;"","Sim","Nao")</f>
        <v>Nao</v>
      </c>
      <c r="L49" s="9" t="s">
        <v>885</v>
      </c>
    </row>
    <row r="50" spans="1:12" x14ac:dyDescent="0.25">
      <c r="A50" t="s">
        <v>142</v>
      </c>
      <c r="B50" t="s">
        <v>357</v>
      </c>
      <c r="C50" t="s">
        <v>257</v>
      </c>
      <c r="D50" t="s">
        <v>144</v>
      </c>
      <c r="G50" s="6" t="s">
        <v>885</v>
      </c>
      <c r="H50" s="7" t="s">
        <v>885</v>
      </c>
      <c r="I50" s="7" t="s">
        <v>885</v>
      </c>
      <c r="K50" t="str">
        <f>IF(Tabela1[[#This Row],[Último PV]]&lt;&gt;"","Sim","Nao")</f>
        <v>Nao</v>
      </c>
      <c r="L50" s="9" t="s">
        <v>885</v>
      </c>
    </row>
    <row r="51" spans="1:12" x14ac:dyDescent="0.25">
      <c r="A51" t="s">
        <v>142</v>
      </c>
      <c r="B51" t="s">
        <v>357</v>
      </c>
      <c r="C51" t="s">
        <v>258</v>
      </c>
      <c r="D51" t="s">
        <v>145</v>
      </c>
      <c r="G51" s="6" t="s">
        <v>885</v>
      </c>
      <c r="H51" s="7" t="s">
        <v>885</v>
      </c>
      <c r="I51" s="7" t="s">
        <v>885</v>
      </c>
      <c r="K51" t="str">
        <f>IF(Tabela1[[#This Row],[Último PV]]&lt;&gt;"","Sim","Nao")</f>
        <v>Nao</v>
      </c>
      <c r="L51" s="9" t="s">
        <v>885</v>
      </c>
    </row>
    <row r="52" spans="1:12" x14ac:dyDescent="0.25">
      <c r="A52" t="s">
        <v>142</v>
      </c>
      <c r="B52" t="s">
        <v>357</v>
      </c>
      <c r="C52" t="s">
        <v>259</v>
      </c>
      <c r="D52" t="s">
        <v>146</v>
      </c>
      <c r="G52" s="6" t="s">
        <v>885</v>
      </c>
      <c r="H52" s="7" t="s">
        <v>885</v>
      </c>
      <c r="I52" s="7" t="s">
        <v>885</v>
      </c>
      <c r="K52" t="str">
        <f>IF(Tabela1[[#This Row],[Último PV]]&lt;&gt;"","Sim","Nao")</f>
        <v>Nao</v>
      </c>
      <c r="L52" s="9" t="s">
        <v>885</v>
      </c>
    </row>
    <row r="53" spans="1:12" x14ac:dyDescent="0.25">
      <c r="A53" t="s">
        <v>142</v>
      </c>
      <c r="B53" t="s">
        <v>357</v>
      </c>
      <c r="C53" t="s">
        <v>260</v>
      </c>
      <c r="D53" t="s">
        <v>147</v>
      </c>
      <c r="G53" s="6" t="s">
        <v>885</v>
      </c>
      <c r="H53" s="7" t="s">
        <v>885</v>
      </c>
      <c r="I53" s="7" t="s">
        <v>885</v>
      </c>
      <c r="K53" t="str">
        <f>IF(Tabela1[[#This Row],[Último PV]]&lt;&gt;"","Sim","Nao")</f>
        <v>Nao</v>
      </c>
      <c r="L53" s="9" t="s">
        <v>885</v>
      </c>
    </row>
    <row r="54" spans="1:12" x14ac:dyDescent="0.25">
      <c r="A54" t="s">
        <v>142</v>
      </c>
      <c r="B54" t="s">
        <v>357</v>
      </c>
      <c r="C54" t="s">
        <v>261</v>
      </c>
      <c r="D54" t="s">
        <v>148</v>
      </c>
      <c r="G54" s="6" t="s">
        <v>885</v>
      </c>
      <c r="H54" s="7" t="s">
        <v>885</v>
      </c>
      <c r="I54" s="7" t="s">
        <v>885</v>
      </c>
      <c r="K54" t="str">
        <f>IF(Tabela1[[#This Row],[Último PV]]&lt;&gt;"","Sim","Nao")</f>
        <v>Nao</v>
      </c>
      <c r="L54" s="9" t="s">
        <v>885</v>
      </c>
    </row>
    <row r="55" spans="1:12" x14ac:dyDescent="0.25">
      <c r="A55" t="s">
        <v>142</v>
      </c>
      <c r="B55" t="s">
        <v>357</v>
      </c>
      <c r="C55" t="s">
        <v>262</v>
      </c>
      <c r="D55" t="s">
        <v>149</v>
      </c>
      <c r="G55" s="6" t="s">
        <v>885</v>
      </c>
      <c r="H55" s="7" t="s">
        <v>885</v>
      </c>
      <c r="I55" s="7" t="s">
        <v>885</v>
      </c>
      <c r="K55" t="str">
        <f>IF(Tabela1[[#This Row],[Último PV]]&lt;&gt;"","Sim","Nao")</f>
        <v>Nao</v>
      </c>
      <c r="L55" s="9" t="s">
        <v>885</v>
      </c>
    </row>
    <row r="56" spans="1:12" x14ac:dyDescent="0.25">
      <c r="A56" t="s">
        <v>142</v>
      </c>
      <c r="B56" t="s">
        <v>357</v>
      </c>
      <c r="C56" t="s">
        <v>263</v>
      </c>
      <c r="D56" t="s">
        <v>150</v>
      </c>
      <c r="G56" s="6" t="s">
        <v>885</v>
      </c>
      <c r="H56" s="7" t="s">
        <v>885</v>
      </c>
      <c r="I56" s="7" t="s">
        <v>885</v>
      </c>
      <c r="K56" t="str">
        <f>IF(Tabela1[[#This Row],[Último PV]]&lt;&gt;"","Sim","Nao")</f>
        <v>Nao</v>
      </c>
      <c r="L56" s="9" t="s">
        <v>885</v>
      </c>
    </row>
    <row r="57" spans="1:12" x14ac:dyDescent="0.25">
      <c r="A57" t="s">
        <v>142</v>
      </c>
      <c r="B57" t="s">
        <v>357</v>
      </c>
      <c r="C57" t="s">
        <v>264</v>
      </c>
      <c r="D57" t="s">
        <v>151</v>
      </c>
      <c r="G57" s="6" t="s">
        <v>885</v>
      </c>
      <c r="H57" s="7" t="s">
        <v>885</v>
      </c>
      <c r="I57" s="7" t="s">
        <v>885</v>
      </c>
      <c r="K57" t="str">
        <f>IF(Tabela1[[#This Row],[Último PV]]&lt;&gt;"","Sim","Nao")</f>
        <v>Nao</v>
      </c>
      <c r="L57" s="9" t="s">
        <v>885</v>
      </c>
    </row>
    <row r="58" spans="1:12" x14ac:dyDescent="0.25">
      <c r="A58" t="s">
        <v>142</v>
      </c>
      <c r="B58" t="s">
        <v>357</v>
      </c>
      <c r="C58" t="s">
        <v>265</v>
      </c>
      <c r="D58" t="s">
        <v>152</v>
      </c>
      <c r="G58" s="6" t="s">
        <v>885</v>
      </c>
      <c r="H58" s="7" t="s">
        <v>885</v>
      </c>
      <c r="I58" s="7" t="s">
        <v>885</v>
      </c>
      <c r="K58" t="str">
        <f>IF(Tabela1[[#This Row],[Último PV]]&lt;&gt;"","Sim","Nao")</f>
        <v>Nao</v>
      </c>
      <c r="L58" s="9" t="s">
        <v>885</v>
      </c>
    </row>
    <row r="59" spans="1:12" x14ac:dyDescent="0.25">
      <c r="A59" t="s">
        <v>142</v>
      </c>
      <c r="B59" t="s">
        <v>357</v>
      </c>
      <c r="C59" t="s">
        <v>266</v>
      </c>
      <c r="D59" t="s">
        <v>153</v>
      </c>
      <c r="G59" s="6" t="s">
        <v>885</v>
      </c>
      <c r="H59" s="7" t="s">
        <v>885</v>
      </c>
      <c r="I59" s="7" t="s">
        <v>885</v>
      </c>
      <c r="K59" t="str">
        <f>IF(Tabela1[[#This Row],[Último PV]]&lt;&gt;"","Sim","Nao")</f>
        <v>Nao</v>
      </c>
      <c r="L59" s="9" t="s">
        <v>885</v>
      </c>
    </row>
    <row r="60" spans="1:12" x14ac:dyDescent="0.25">
      <c r="A60" t="s">
        <v>142</v>
      </c>
      <c r="B60" t="s">
        <v>357</v>
      </c>
      <c r="C60" t="s">
        <v>267</v>
      </c>
      <c r="D60" t="s">
        <v>154</v>
      </c>
      <c r="G60" s="6" t="s">
        <v>885</v>
      </c>
      <c r="H60" s="7" t="s">
        <v>885</v>
      </c>
      <c r="I60" s="7" t="s">
        <v>885</v>
      </c>
      <c r="K60" t="str">
        <f>IF(Tabela1[[#This Row],[Último PV]]&lt;&gt;"","Sim","Nao")</f>
        <v>Nao</v>
      </c>
      <c r="L60" s="9" t="s">
        <v>885</v>
      </c>
    </row>
    <row r="61" spans="1:12" x14ac:dyDescent="0.25">
      <c r="A61" t="s">
        <v>142</v>
      </c>
      <c r="B61" t="s">
        <v>357</v>
      </c>
      <c r="C61" t="s">
        <v>268</v>
      </c>
      <c r="D61" t="s">
        <v>155</v>
      </c>
      <c r="G61" s="6" t="s">
        <v>885</v>
      </c>
      <c r="H61" s="7" t="s">
        <v>885</v>
      </c>
      <c r="I61" s="7" t="s">
        <v>885</v>
      </c>
      <c r="K61" t="str">
        <f>IF(Tabela1[[#This Row],[Último PV]]&lt;&gt;"","Sim","Nao")</f>
        <v>Nao</v>
      </c>
      <c r="L61" s="9" t="s">
        <v>885</v>
      </c>
    </row>
    <row r="62" spans="1:12" x14ac:dyDescent="0.25">
      <c r="A62" t="s">
        <v>142</v>
      </c>
      <c r="B62" t="s">
        <v>357</v>
      </c>
      <c r="C62" t="s">
        <v>262</v>
      </c>
      <c r="D62" t="s">
        <v>156</v>
      </c>
      <c r="G62" s="6" t="s">
        <v>885</v>
      </c>
      <c r="H62" s="7" t="s">
        <v>885</v>
      </c>
      <c r="I62" s="7" t="s">
        <v>885</v>
      </c>
      <c r="K62" t="str">
        <f>IF(Tabela1[[#This Row],[Último PV]]&lt;&gt;"","Sim","Nao")</f>
        <v>Nao</v>
      </c>
      <c r="L62" s="9" t="s">
        <v>885</v>
      </c>
    </row>
    <row r="63" spans="1:12" x14ac:dyDescent="0.25">
      <c r="A63" t="s">
        <v>142</v>
      </c>
      <c r="B63" t="s">
        <v>357</v>
      </c>
      <c r="C63" t="s">
        <v>262</v>
      </c>
      <c r="D63" t="s">
        <v>157</v>
      </c>
      <c r="G63" s="6">
        <v>5252</v>
      </c>
      <c r="H63" s="7">
        <v>44810</v>
      </c>
      <c r="I63" s="7" t="s">
        <v>884</v>
      </c>
      <c r="K63" t="str">
        <f>IF(Tabela1[[#This Row],[Último PV]]&lt;&gt;"","Sim","Nao")</f>
        <v>Sim</v>
      </c>
      <c r="L63" s="9">
        <v>5740</v>
      </c>
    </row>
    <row r="64" spans="1:12" x14ac:dyDescent="0.25">
      <c r="A64" t="s">
        <v>142</v>
      </c>
      <c r="B64" t="s">
        <v>357</v>
      </c>
      <c r="C64" t="s">
        <v>262</v>
      </c>
      <c r="D64" t="s">
        <v>158</v>
      </c>
      <c r="G64" s="6" t="s">
        <v>885</v>
      </c>
      <c r="H64" s="7" t="s">
        <v>885</v>
      </c>
      <c r="I64" s="7" t="s">
        <v>885</v>
      </c>
      <c r="K64" t="str">
        <f>IF(Tabela1[[#This Row],[Último PV]]&lt;&gt;"","Sim","Nao")</f>
        <v>Nao</v>
      </c>
      <c r="L64" s="9" t="s">
        <v>885</v>
      </c>
    </row>
    <row r="65" spans="1:12" x14ac:dyDescent="0.25">
      <c r="A65" t="s">
        <v>142</v>
      </c>
      <c r="B65" t="s">
        <v>357</v>
      </c>
      <c r="C65" t="s">
        <v>269</v>
      </c>
      <c r="D65" t="s">
        <v>159</v>
      </c>
      <c r="G65" s="6" t="s">
        <v>885</v>
      </c>
      <c r="H65" s="7" t="s">
        <v>885</v>
      </c>
      <c r="I65" s="7" t="s">
        <v>885</v>
      </c>
      <c r="K65" t="str">
        <f>IF(Tabela1[[#This Row],[Último PV]]&lt;&gt;"","Sim","Nao")</f>
        <v>Nao</v>
      </c>
      <c r="L65" s="9" t="s">
        <v>885</v>
      </c>
    </row>
    <row r="66" spans="1:12" x14ac:dyDescent="0.25">
      <c r="A66" t="s">
        <v>142</v>
      </c>
      <c r="B66" t="s">
        <v>357</v>
      </c>
      <c r="C66" t="s">
        <v>270</v>
      </c>
      <c r="D66" t="s">
        <v>160</v>
      </c>
      <c r="G66" s="6" t="s">
        <v>885</v>
      </c>
      <c r="H66" s="7" t="s">
        <v>885</v>
      </c>
      <c r="I66" s="7" t="s">
        <v>885</v>
      </c>
      <c r="K66" t="str">
        <f>IF(Tabela1[[#This Row],[Último PV]]&lt;&gt;"","Sim","Nao")</f>
        <v>Nao</v>
      </c>
      <c r="L66" s="9" t="s">
        <v>885</v>
      </c>
    </row>
    <row r="67" spans="1:12" x14ac:dyDescent="0.25">
      <c r="A67" t="s">
        <v>142</v>
      </c>
      <c r="B67" t="s">
        <v>357</v>
      </c>
      <c r="C67" t="s">
        <v>268</v>
      </c>
      <c r="D67" t="s">
        <v>161</v>
      </c>
      <c r="G67" s="6">
        <v>8455</v>
      </c>
      <c r="H67" s="7">
        <v>45656</v>
      </c>
      <c r="I67" s="7" t="s">
        <v>884</v>
      </c>
      <c r="J67" t="s">
        <v>880</v>
      </c>
      <c r="K67" t="str">
        <f>IF(Tabela1[[#This Row],[Último PV]]&lt;&gt;"","Sim","Nao")</f>
        <v>Sim</v>
      </c>
      <c r="L67" s="9">
        <v>4159.3</v>
      </c>
    </row>
    <row r="68" spans="1:12" x14ac:dyDescent="0.25">
      <c r="A68" t="s">
        <v>142</v>
      </c>
      <c r="B68" t="s">
        <v>357</v>
      </c>
      <c r="C68" t="s">
        <v>271</v>
      </c>
      <c r="D68" t="s">
        <v>162</v>
      </c>
      <c r="G68" s="6" t="s">
        <v>885</v>
      </c>
      <c r="H68" s="7" t="s">
        <v>885</v>
      </c>
      <c r="I68" s="7" t="s">
        <v>885</v>
      </c>
      <c r="K68" t="str">
        <f>IF(Tabela1[[#This Row],[Último PV]]&lt;&gt;"","Sim","Nao")</f>
        <v>Nao</v>
      </c>
      <c r="L68" s="9" t="s">
        <v>885</v>
      </c>
    </row>
    <row r="69" spans="1:12" x14ac:dyDescent="0.25">
      <c r="A69" t="s">
        <v>142</v>
      </c>
      <c r="B69" t="s">
        <v>357</v>
      </c>
      <c r="C69" t="s">
        <v>272</v>
      </c>
      <c r="D69" t="s">
        <v>163</v>
      </c>
      <c r="G69" s="6" t="s">
        <v>885</v>
      </c>
      <c r="H69" s="7" t="s">
        <v>885</v>
      </c>
      <c r="I69" s="7" t="s">
        <v>885</v>
      </c>
      <c r="K69" t="str">
        <f>IF(Tabela1[[#This Row],[Último PV]]&lt;&gt;"","Sim","Nao")</f>
        <v>Nao</v>
      </c>
      <c r="L69" s="9" t="s">
        <v>885</v>
      </c>
    </row>
    <row r="70" spans="1:12" x14ac:dyDescent="0.25">
      <c r="A70" t="s">
        <v>142</v>
      </c>
      <c r="B70" t="s">
        <v>357</v>
      </c>
      <c r="C70" t="s">
        <v>273</v>
      </c>
      <c r="D70" t="s">
        <v>164</v>
      </c>
      <c r="G70" s="6" t="s">
        <v>885</v>
      </c>
      <c r="H70" s="7" t="s">
        <v>885</v>
      </c>
      <c r="I70" s="7" t="s">
        <v>885</v>
      </c>
      <c r="K70" t="str">
        <f>IF(Tabela1[[#This Row],[Último PV]]&lt;&gt;"","Sim","Nao")</f>
        <v>Nao</v>
      </c>
      <c r="L70" s="9" t="s">
        <v>885</v>
      </c>
    </row>
    <row r="71" spans="1:12" x14ac:dyDescent="0.25">
      <c r="A71" t="s">
        <v>142</v>
      </c>
      <c r="B71" t="s">
        <v>357</v>
      </c>
      <c r="C71" t="s">
        <v>274</v>
      </c>
      <c r="D71" t="s">
        <v>165</v>
      </c>
      <c r="G71" s="6" t="s">
        <v>885</v>
      </c>
      <c r="H71" s="7" t="s">
        <v>885</v>
      </c>
      <c r="I71" s="7" t="s">
        <v>885</v>
      </c>
      <c r="K71" t="str">
        <f>IF(Tabela1[[#This Row],[Último PV]]&lt;&gt;"","Sim","Nao")</f>
        <v>Nao</v>
      </c>
      <c r="L71" s="9" t="s">
        <v>885</v>
      </c>
    </row>
    <row r="72" spans="1:12" x14ac:dyDescent="0.25">
      <c r="A72" t="s">
        <v>142</v>
      </c>
      <c r="B72" t="s">
        <v>357</v>
      </c>
      <c r="C72" t="s">
        <v>275</v>
      </c>
      <c r="D72" t="s">
        <v>166</v>
      </c>
      <c r="G72" s="6" t="s">
        <v>885</v>
      </c>
      <c r="H72" s="7" t="s">
        <v>885</v>
      </c>
      <c r="I72" s="7" t="s">
        <v>885</v>
      </c>
      <c r="K72" t="str">
        <f>IF(Tabela1[[#This Row],[Último PV]]&lt;&gt;"","Sim","Nao")</f>
        <v>Nao</v>
      </c>
      <c r="L72" s="9" t="s">
        <v>885</v>
      </c>
    </row>
    <row r="73" spans="1:12" x14ac:dyDescent="0.25">
      <c r="A73" t="s">
        <v>142</v>
      </c>
      <c r="B73" t="s">
        <v>357</v>
      </c>
      <c r="C73" t="s">
        <v>276</v>
      </c>
      <c r="D73" t="s">
        <v>167</v>
      </c>
      <c r="G73" s="6" t="s">
        <v>885</v>
      </c>
      <c r="H73" s="7" t="s">
        <v>885</v>
      </c>
      <c r="I73" s="7" t="s">
        <v>885</v>
      </c>
      <c r="K73" t="str">
        <f>IF(Tabela1[[#This Row],[Último PV]]&lt;&gt;"","Sim","Nao")</f>
        <v>Nao</v>
      </c>
      <c r="L73" s="9" t="s">
        <v>885</v>
      </c>
    </row>
    <row r="74" spans="1:12" x14ac:dyDescent="0.25">
      <c r="A74" t="s">
        <v>142</v>
      </c>
      <c r="B74" t="s">
        <v>357</v>
      </c>
      <c r="C74" t="s">
        <v>277</v>
      </c>
      <c r="D74" t="s">
        <v>168</v>
      </c>
      <c r="G74" s="6" t="s">
        <v>885</v>
      </c>
      <c r="H74" s="7" t="s">
        <v>885</v>
      </c>
      <c r="I74" s="7" t="s">
        <v>885</v>
      </c>
      <c r="K74" t="str">
        <f>IF(Tabela1[[#This Row],[Último PV]]&lt;&gt;"","Sim","Nao")</f>
        <v>Nao</v>
      </c>
      <c r="L74" s="9" t="s">
        <v>885</v>
      </c>
    </row>
    <row r="75" spans="1:12" x14ac:dyDescent="0.25">
      <c r="A75" t="s">
        <v>142</v>
      </c>
      <c r="B75" t="s">
        <v>357</v>
      </c>
      <c r="C75" t="s">
        <v>278</v>
      </c>
      <c r="D75" t="s">
        <v>169</v>
      </c>
      <c r="G75" s="6">
        <v>7339</v>
      </c>
      <c r="H75" s="7">
        <v>45435</v>
      </c>
      <c r="I75" s="7" t="s">
        <v>884</v>
      </c>
      <c r="J75" t="s">
        <v>879</v>
      </c>
      <c r="K75" t="str">
        <f>IF(Tabela1[[#This Row],[Último PV]]&lt;&gt;"","Sim","Nao")</f>
        <v>Sim</v>
      </c>
      <c r="L75" s="9">
        <v>4374.96</v>
      </c>
    </row>
    <row r="76" spans="1:12" x14ac:dyDescent="0.25">
      <c r="A76" t="s">
        <v>142</v>
      </c>
      <c r="B76" t="s">
        <v>357</v>
      </c>
      <c r="C76" t="s">
        <v>279</v>
      </c>
      <c r="D76" t="s">
        <v>170</v>
      </c>
      <c r="G76" s="6" t="s">
        <v>885</v>
      </c>
      <c r="H76" s="7" t="s">
        <v>885</v>
      </c>
      <c r="I76" s="7" t="s">
        <v>885</v>
      </c>
      <c r="K76" t="str">
        <f>IF(Tabela1[[#This Row],[Último PV]]&lt;&gt;"","Sim","Nao")</f>
        <v>Nao</v>
      </c>
      <c r="L76" s="9" t="s">
        <v>885</v>
      </c>
    </row>
    <row r="77" spans="1:12" x14ac:dyDescent="0.25">
      <c r="A77" t="s">
        <v>142</v>
      </c>
      <c r="B77" t="s">
        <v>357</v>
      </c>
      <c r="C77" t="s">
        <v>280</v>
      </c>
      <c r="D77" t="s">
        <v>171</v>
      </c>
      <c r="G77" s="6">
        <v>7552</v>
      </c>
      <c r="H77" s="7">
        <v>45477</v>
      </c>
      <c r="I77" s="7" t="s">
        <v>884</v>
      </c>
      <c r="J77" t="s">
        <v>879</v>
      </c>
      <c r="K77" t="str">
        <f>IF(Tabela1[[#This Row],[Último PV]]&lt;&gt;"","Sim","Nao")</f>
        <v>Sim</v>
      </c>
      <c r="L77" s="9">
        <v>1607.5</v>
      </c>
    </row>
    <row r="78" spans="1:12" x14ac:dyDescent="0.25">
      <c r="A78" t="s">
        <v>142</v>
      </c>
      <c r="B78" t="s">
        <v>357</v>
      </c>
      <c r="C78" t="s">
        <v>281</v>
      </c>
      <c r="D78" t="s">
        <v>172</v>
      </c>
      <c r="G78" s="6" t="s">
        <v>885</v>
      </c>
      <c r="H78" s="7" t="s">
        <v>885</v>
      </c>
      <c r="I78" s="7" t="s">
        <v>885</v>
      </c>
      <c r="K78" t="str">
        <f>IF(Tabela1[[#This Row],[Último PV]]&lt;&gt;"","Sim","Nao")</f>
        <v>Nao</v>
      </c>
      <c r="L78" s="9" t="s">
        <v>885</v>
      </c>
    </row>
    <row r="79" spans="1:12" x14ac:dyDescent="0.25">
      <c r="A79" t="s">
        <v>142</v>
      </c>
      <c r="B79" t="s">
        <v>357</v>
      </c>
      <c r="C79" t="s">
        <v>282</v>
      </c>
      <c r="D79" t="s">
        <v>173</v>
      </c>
      <c r="G79" s="6" t="s">
        <v>885</v>
      </c>
      <c r="H79" s="7" t="s">
        <v>885</v>
      </c>
      <c r="I79" s="7" t="s">
        <v>885</v>
      </c>
      <c r="K79" t="str">
        <f>IF(Tabela1[[#This Row],[Último PV]]&lt;&gt;"","Sim","Nao")</f>
        <v>Nao</v>
      </c>
      <c r="L79" s="9" t="s">
        <v>885</v>
      </c>
    </row>
    <row r="80" spans="1:12" x14ac:dyDescent="0.25">
      <c r="A80" t="s">
        <v>142</v>
      </c>
      <c r="B80" t="s">
        <v>357</v>
      </c>
      <c r="C80" t="s">
        <v>278</v>
      </c>
      <c r="D80" t="s">
        <v>174</v>
      </c>
      <c r="G80" s="6" t="s">
        <v>885</v>
      </c>
      <c r="H80" s="7" t="s">
        <v>885</v>
      </c>
      <c r="I80" s="7" t="s">
        <v>885</v>
      </c>
      <c r="K80" t="str">
        <f>IF(Tabela1[[#This Row],[Último PV]]&lt;&gt;"","Sim","Nao")</f>
        <v>Nao</v>
      </c>
      <c r="L80" s="9" t="s">
        <v>885</v>
      </c>
    </row>
    <row r="81" spans="1:12" x14ac:dyDescent="0.25">
      <c r="A81" t="s">
        <v>142</v>
      </c>
      <c r="B81" t="s">
        <v>357</v>
      </c>
      <c r="C81" t="s">
        <v>268</v>
      </c>
      <c r="D81" t="s">
        <v>175</v>
      </c>
      <c r="G81" s="6" t="s">
        <v>885</v>
      </c>
      <c r="H81" s="7" t="s">
        <v>885</v>
      </c>
      <c r="I81" s="7" t="s">
        <v>885</v>
      </c>
      <c r="K81" t="str">
        <f>IF(Tabela1[[#This Row],[Último PV]]&lt;&gt;"","Sim","Nao")</f>
        <v>Nao</v>
      </c>
      <c r="L81" s="9" t="s">
        <v>885</v>
      </c>
    </row>
    <row r="82" spans="1:12" x14ac:dyDescent="0.25">
      <c r="A82" t="s">
        <v>142</v>
      </c>
      <c r="B82" t="s">
        <v>357</v>
      </c>
      <c r="C82" t="s">
        <v>283</v>
      </c>
      <c r="D82" t="s">
        <v>176</v>
      </c>
      <c r="G82" s="6" t="s">
        <v>885</v>
      </c>
      <c r="H82" s="7" t="s">
        <v>885</v>
      </c>
      <c r="I82" s="7" t="s">
        <v>885</v>
      </c>
      <c r="K82" t="str">
        <f>IF(Tabela1[[#This Row],[Último PV]]&lt;&gt;"","Sim","Nao")</f>
        <v>Nao</v>
      </c>
      <c r="L82" s="9" t="s">
        <v>885</v>
      </c>
    </row>
    <row r="83" spans="1:12" x14ac:dyDescent="0.25">
      <c r="A83" t="s">
        <v>142</v>
      </c>
      <c r="B83" t="s">
        <v>357</v>
      </c>
      <c r="C83" t="s">
        <v>284</v>
      </c>
      <c r="D83" t="s">
        <v>177</v>
      </c>
      <c r="G83" s="6">
        <v>8029</v>
      </c>
      <c r="H83" s="7">
        <v>45569</v>
      </c>
      <c r="I83" s="7" t="s">
        <v>884</v>
      </c>
      <c r="J83" t="s">
        <v>879</v>
      </c>
      <c r="K83" t="str">
        <f>IF(Tabela1[[#This Row],[Último PV]]&lt;&gt;"","Sim","Nao")</f>
        <v>Sim</v>
      </c>
      <c r="L83" s="9">
        <v>14353</v>
      </c>
    </row>
    <row r="84" spans="1:12" x14ac:dyDescent="0.25">
      <c r="A84" t="s">
        <v>142</v>
      </c>
      <c r="B84" t="s">
        <v>357</v>
      </c>
      <c r="C84" t="s">
        <v>285</v>
      </c>
      <c r="D84" t="s">
        <v>178</v>
      </c>
      <c r="G84" s="6" t="s">
        <v>885</v>
      </c>
      <c r="H84" s="7" t="s">
        <v>885</v>
      </c>
      <c r="I84" s="7" t="s">
        <v>885</v>
      </c>
      <c r="K84" t="str">
        <f>IF(Tabela1[[#This Row],[Último PV]]&lt;&gt;"","Sim","Nao")</f>
        <v>Nao</v>
      </c>
      <c r="L84" s="9" t="s">
        <v>885</v>
      </c>
    </row>
    <row r="85" spans="1:12" x14ac:dyDescent="0.25">
      <c r="A85" t="s">
        <v>142</v>
      </c>
      <c r="B85" t="s">
        <v>357</v>
      </c>
      <c r="C85" t="s">
        <v>286</v>
      </c>
      <c r="D85" t="s">
        <v>179</v>
      </c>
      <c r="G85" s="6" t="s">
        <v>885</v>
      </c>
      <c r="H85" s="7" t="s">
        <v>885</v>
      </c>
      <c r="I85" s="7" t="s">
        <v>885</v>
      </c>
      <c r="K85" t="str">
        <f>IF(Tabela1[[#This Row],[Último PV]]&lt;&gt;"","Sim","Nao")</f>
        <v>Nao</v>
      </c>
      <c r="L85" s="9" t="s">
        <v>885</v>
      </c>
    </row>
    <row r="86" spans="1:12" x14ac:dyDescent="0.25">
      <c r="A86" t="s">
        <v>142</v>
      </c>
      <c r="B86" t="s">
        <v>357</v>
      </c>
      <c r="C86" t="s">
        <v>287</v>
      </c>
      <c r="D86" t="s">
        <v>180</v>
      </c>
      <c r="G86" s="6" t="s">
        <v>885</v>
      </c>
      <c r="H86" s="7" t="s">
        <v>885</v>
      </c>
      <c r="I86" s="7" t="s">
        <v>885</v>
      </c>
      <c r="K86" t="str">
        <f>IF(Tabela1[[#This Row],[Último PV]]&lt;&gt;"","Sim","Nao")</f>
        <v>Nao</v>
      </c>
      <c r="L86" s="9" t="s">
        <v>885</v>
      </c>
    </row>
    <row r="87" spans="1:12" x14ac:dyDescent="0.25">
      <c r="A87" t="s">
        <v>142</v>
      </c>
      <c r="B87" t="s">
        <v>357</v>
      </c>
      <c r="C87" t="s">
        <v>288</v>
      </c>
      <c r="D87" t="s">
        <v>181</v>
      </c>
      <c r="G87" s="6" t="s">
        <v>885</v>
      </c>
      <c r="H87" s="7" t="s">
        <v>885</v>
      </c>
      <c r="I87" s="7" t="s">
        <v>885</v>
      </c>
      <c r="K87" t="str">
        <f>IF(Tabela1[[#This Row],[Último PV]]&lt;&gt;"","Sim","Nao")</f>
        <v>Nao</v>
      </c>
      <c r="L87" s="9" t="s">
        <v>885</v>
      </c>
    </row>
    <row r="88" spans="1:12" x14ac:dyDescent="0.25">
      <c r="A88" t="s">
        <v>142</v>
      </c>
      <c r="B88" t="s">
        <v>357</v>
      </c>
      <c r="C88" t="s">
        <v>289</v>
      </c>
      <c r="D88" t="s">
        <v>182</v>
      </c>
      <c r="G88" s="6" t="s">
        <v>885</v>
      </c>
      <c r="H88" s="7" t="s">
        <v>885</v>
      </c>
      <c r="I88" s="7" t="s">
        <v>885</v>
      </c>
      <c r="K88" t="str">
        <f>IF(Tabela1[[#This Row],[Último PV]]&lt;&gt;"","Sim","Nao")</f>
        <v>Nao</v>
      </c>
      <c r="L88" s="9" t="s">
        <v>885</v>
      </c>
    </row>
    <row r="89" spans="1:12" x14ac:dyDescent="0.25">
      <c r="A89" t="s">
        <v>142</v>
      </c>
      <c r="B89" t="s">
        <v>357</v>
      </c>
      <c r="C89" t="s">
        <v>290</v>
      </c>
      <c r="D89" t="s">
        <v>183</v>
      </c>
      <c r="G89" s="6" t="s">
        <v>885</v>
      </c>
      <c r="H89" s="7" t="s">
        <v>885</v>
      </c>
      <c r="I89" s="7" t="s">
        <v>885</v>
      </c>
      <c r="K89" t="str">
        <f>IF(Tabela1[[#This Row],[Último PV]]&lt;&gt;"","Sim","Nao")</f>
        <v>Nao</v>
      </c>
      <c r="L89" s="9" t="s">
        <v>885</v>
      </c>
    </row>
    <row r="90" spans="1:12" x14ac:dyDescent="0.25">
      <c r="A90" t="s">
        <v>142</v>
      </c>
      <c r="B90" t="s">
        <v>357</v>
      </c>
      <c r="C90" t="s">
        <v>274</v>
      </c>
      <c r="D90" t="s">
        <v>184</v>
      </c>
      <c r="G90" s="6" t="s">
        <v>885</v>
      </c>
      <c r="H90" s="7" t="s">
        <v>885</v>
      </c>
      <c r="I90" s="7" t="s">
        <v>885</v>
      </c>
      <c r="K90" t="str">
        <f>IF(Tabela1[[#This Row],[Último PV]]&lt;&gt;"","Sim","Nao")</f>
        <v>Nao</v>
      </c>
      <c r="L90" s="9" t="s">
        <v>885</v>
      </c>
    </row>
    <row r="91" spans="1:12" x14ac:dyDescent="0.25">
      <c r="A91" t="s">
        <v>142</v>
      </c>
      <c r="B91" t="s">
        <v>357</v>
      </c>
      <c r="C91" t="s">
        <v>274</v>
      </c>
      <c r="D91" t="s">
        <v>185</v>
      </c>
      <c r="G91" s="6" t="s">
        <v>885</v>
      </c>
      <c r="H91" s="7" t="s">
        <v>885</v>
      </c>
      <c r="I91" s="7" t="s">
        <v>885</v>
      </c>
      <c r="K91" t="str">
        <f>IF(Tabela1[[#This Row],[Último PV]]&lt;&gt;"","Sim","Nao")</f>
        <v>Nao</v>
      </c>
      <c r="L91" s="9" t="s">
        <v>885</v>
      </c>
    </row>
    <row r="92" spans="1:12" x14ac:dyDescent="0.25">
      <c r="A92" t="s">
        <v>142</v>
      </c>
      <c r="B92" t="s">
        <v>357</v>
      </c>
      <c r="C92" t="s">
        <v>274</v>
      </c>
      <c r="D92" t="s">
        <v>186</v>
      </c>
      <c r="G92" s="6" t="s">
        <v>885</v>
      </c>
      <c r="H92" s="7" t="s">
        <v>885</v>
      </c>
      <c r="I92" s="7" t="s">
        <v>885</v>
      </c>
      <c r="K92" t="str">
        <f>IF(Tabela1[[#This Row],[Último PV]]&lt;&gt;"","Sim","Nao")</f>
        <v>Nao</v>
      </c>
      <c r="L92" s="9" t="s">
        <v>885</v>
      </c>
    </row>
    <row r="93" spans="1:12" x14ac:dyDescent="0.25">
      <c r="A93" t="s">
        <v>142</v>
      </c>
      <c r="B93" t="s">
        <v>357</v>
      </c>
      <c r="C93" t="s">
        <v>291</v>
      </c>
      <c r="D93" t="s">
        <v>187</v>
      </c>
      <c r="G93" s="6" t="s">
        <v>885</v>
      </c>
      <c r="H93" s="7" t="s">
        <v>885</v>
      </c>
      <c r="I93" s="7" t="s">
        <v>885</v>
      </c>
      <c r="K93" t="str">
        <f>IF(Tabela1[[#This Row],[Último PV]]&lt;&gt;"","Sim","Nao")</f>
        <v>Nao</v>
      </c>
      <c r="L93" s="9" t="s">
        <v>885</v>
      </c>
    </row>
    <row r="94" spans="1:12" x14ac:dyDescent="0.25">
      <c r="A94" t="s">
        <v>142</v>
      </c>
      <c r="B94" t="s">
        <v>357</v>
      </c>
      <c r="C94" t="s">
        <v>292</v>
      </c>
      <c r="D94" t="s">
        <v>188</v>
      </c>
      <c r="G94" s="6" t="s">
        <v>885</v>
      </c>
      <c r="H94" s="7" t="s">
        <v>885</v>
      </c>
      <c r="I94" s="7" t="s">
        <v>885</v>
      </c>
      <c r="K94" t="str">
        <f>IF(Tabela1[[#This Row],[Último PV]]&lt;&gt;"","Sim","Nao")</f>
        <v>Nao</v>
      </c>
      <c r="L94" s="9" t="s">
        <v>885</v>
      </c>
    </row>
    <row r="95" spans="1:12" x14ac:dyDescent="0.25">
      <c r="A95" t="s">
        <v>142</v>
      </c>
      <c r="B95" t="s">
        <v>357</v>
      </c>
      <c r="C95" t="s">
        <v>293</v>
      </c>
      <c r="D95" t="s">
        <v>189</v>
      </c>
      <c r="G95" s="6" t="s">
        <v>885</v>
      </c>
      <c r="H95" s="7" t="s">
        <v>885</v>
      </c>
      <c r="I95" s="7" t="s">
        <v>885</v>
      </c>
      <c r="K95" t="str">
        <f>IF(Tabela1[[#This Row],[Último PV]]&lt;&gt;"","Sim","Nao")</f>
        <v>Nao</v>
      </c>
      <c r="L95" s="9" t="s">
        <v>885</v>
      </c>
    </row>
    <row r="96" spans="1:12" x14ac:dyDescent="0.25">
      <c r="A96" t="s">
        <v>142</v>
      </c>
      <c r="B96" t="s">
        <v>357</v>
      </c>
      <c r="C96" t="s">
        <v>294</v>
      </c>
      <c r="D96" t="s">
        <v>190</v>
      </c>
      <c r="G96" s="6" t="s">
        <v>885</v>
      </c>
      <c r="H96" s="7" t="s">
        <v>885</v>
      </c>
      <c r="I96" s="7" t="s">
        <v>885</v>
      </c>
      <c r="K96" t="str">
        <f>IF(Tabela1[[#This Row],[Último PV]]&lt;&gt;"","Sim","Nao")</f>
        <v>Nao</v>
      </c>
      <c r="L96" s="9" t="s">
        <v>885</v>
      </c>
    </row>
    <row r="97" spans="1:12" x14ac:dyDescent="0.25">
      <c r="A97" t="s">
        <v>142</v>
      </c>
      <c r="B97" t="s">
        <v>357</v>
      </c>
      <c r="C97" t="s">
        <v>295</v>
      </c>
      <c r="D97" t="s">
        <v>191</v>
      </c>
      <c r="G97" s="6" t="s">
        <v>885</v>
      </c>
      <c r="H97" s="7" t="s">
        <v>885</v>
      </c>
      <c r="I97" s="7" t="s">
        <v>885</v>
      </c>
      <c r="K97" t="str">
        <f>IF(Tabela1[[#This Row],[Último PV]]&lt;&gt;"","Sim","Nao")</f>
        <v>Nao</v>
      </c>
      <c r="L97" s="9" t="s">
        <v>885</v>
      </c>
    </row>
    <row r="98" spans="1:12" x14ac:dyDescent="0.25">
      <c r="A98" t="s">
        <v>142</v>
      </c>
      <c r="B98" t="s">
        <v>357</v>
      </c>
      <c r="C98" t="s">
        <v>296</v>
      </c>
      <c r="D98" t="s">
        <v>192</v>
      </c>
      <c r="G98" s="6">
        <v>9439</v>
      </c>
      <c r="H98" s="7">
        <v>45841</v>
      </c>
      <c r="I98" s="7" t="s">
        <v>884</v>
      </c>
      <c r="J98" t="s">
        <v>880</v>
      </c>
      <c r="K98" t="str">
        <f>IF(Tabela1[[#This Row],[Último PV]]&lt;&gt;"","Sim","Nao")</f>
        <v>Sim</v>
      </c>
      <c r="L98" s="9">
        <v>148300.17000000001</v>
      </c>
    </row>
    <row r="99" spans="1:12" x14ac:dyDescent="0.25">
      <c r="A99" t="s">
        <v>142</v>
      </c>
      <c r="B99" t="s">
        <v>357</v>
      </c>
      <c r="C99" t="s">
        <v>297</v>
      </c>
      <c r="D99" t="s">
        <v>193</v>
      </c>
      <c r="G99" s="6" t="s">
        <v>885</v>
      </c>
      <c r="H99" s="7" t="s">
        <v>885</v>
      </c>
      <c r="I99" s="7" t="s">
        <v>885</v>
      </c>
      <c r="K99" t="str">
        <f>IF(Tabela1[[#This Row],[Último PV]]&lt;&gt;"","Sim","Nao")</f>
        <v>Nao</v>
      </c>
      <c r="L99" s="9" t="s">
        <v>885</v>
      </c>
    </row>
    <row r="100" spans="1:12" x14ac:dyDescent="0.25">
      <c r="A100" t="s">
        <v>142</v>
      </c>
      <c r="B100" t="s">
        <v>357</v>
      </c>
      <c r="C100" t="s">
        <v>298</v>
      </c>
      <c r="D100" t="s">
        <v>194</v>
      </c>
      <c r="G100" s="6" t="s">
        <v>885</v>
      </c>
      <c r="H100" s="7" t="s">
        <v>885</v>
      </c>
      <c r="I100" s="7" t="s">
        <v>885</v>
      </c>
      <c r="K100" t="str">
        <f>IF(Tabela1[[#This Row],[Último PV]]&lt;&gt;"","Sim","Nao")</f>
        <v>Nao</v>
      </c>
      <c r="L100" s="9" t="s">
        <v>885</v>
      </c>
    </row>
    <row r="101" spans="1:12" x14ac:dyDescent="0.25">
      <c r="A101" t="s">
        <v>142</v>
      </c>
      <c r="B101" t="s">
        <v>357</v>
      </c>
      <c r="C101" t="s">
        <v>299</v>
      </c>
      <c r="D101" t="s">
        <v>195</v>
      </c>
      <c r="G101" s="6" t="s">
        <v>885</v>
      </c>
      <c r="H101" s="7" t="s">
        <v>885</v>
      </c>
      <c r="I101" s="7" t="s">
        <v>885</v>
      </c>
      <c r="K101" t="str">
        <f>IF(Tabela1[[#This Row],[Último PV]]&lt;&gt;"","Sim","Nao")</f>
        <v>Nao</v>
      </c>
      <c r="L101" s="9" t="s">
        <v>885</v>
      </c>
    </row>
    <row r="102" spans="1:12" x14ac:dyDescent="0.25">
      <c r="A102" t="s">
        <v>142</v>
      </c>
      <c r="B102" t="s">
        <v>357</v>
      </c>
      <c r="C102" t="s">
        <v>300</v>
      </c>
      <c r="D102" t="s">
        <v>196</v>
      </c>
      <c r="G102" s="6" t="s">
        <v>885</v>
      </c>
      <c r="H102" s="7" t="s">
        <v>885</v>
      </c>
      <c r="I102" s="7" t="s">
        <v>885</v>
      </c>
      <c r="K102" t="str">
        <f>IF(Tabela1[[#This Row],[Último PV]]&lt;&gt;"","Sim","Nao")</f>
        <v>Nao</v>
      </c>
      <c r="L102" s="9" t="s">
        <v>885</v>
      </c>
    </row>
    <row r="103" spans="1:12" x14ac:dyDescent="0.25">
      <c r="A103" t="s">
        <v>142</v>
      </c>
      <c r="B103" t="s">
        <v>357</v>
      </c>
      <c r="C103" t="s">
        <v>301</v>
      </c>
      <c r="D103" t="s">
        <v>197</v>
      </c>
      <c r="G103" s="6">
        <v>9790</v>
      </c>
      <c r="H103" s="7">
        <v>45903</v>
      </c>
      <c r="I103" s="7" t="s">
        <v>884</v>
      </c>
      <c r="J103" t="s">
        <v>879</v>
      </c>
      <c r="K103" t="str">
        <f>IF(Tabela1[[#This Row],[Último PV]]&lt;&gt;"","Sim","Nao")</f>
        <v>Sim</v>
      </c>
      <c r="L103" s="9">
        <v>5617.88</v>
      </c>
    </row>
    <row r="104" spans="1:12" x14ac:dyDescent="0.25">
      <c r="A104" t="s">
        <v>142</v>
      </c>
      <c r="B104" t="s">
        <v>357</v>
      </c>
      <c r="C104" t="s">
        <v>302</v>
      </c>
      <c r="D104" t="s">
        <v>198</v>
      </c>
      <c r="G104" s="6" t="s">
        <v>885</v>
      </c>
      <c r="H104" s="7" t="s">
        <v>885</v>
      </c>
      <c r="I104" s="7" t="s">
        <v>885</v>
      </c>
      <c r="K104" t="str">
        <f>IF(Tabela1[[#This Row],[Último PV]]&lt;&gt;"","Sim","Nao")</f>
        <v>Nao</v>
      </c>
      <c r="L104" s="9" t="s">
        <v>885</v>
      </c>
    </row>
    <row r="105" spans="1:12" x14ac:dyDescent="0.25">
      <c r="A105" t="s">
        <v>142</v>
      </c>
      <c r="B105" t="s">
        <v>358</v>
      </c>
      <c r="C105" t="s">
        <v>303</v>
      </c>
      <c r="D105" t="s">
        <v>199</v>
      </c>
      <c r="G105" s="6">
        <v>8132</v>
      </c>
      <c r="H105" s="7">
        <v>45593</v>
      </c>
      <c r="I105" s="7" t="s">
        <v>884</v>
      </c>
      <c r="J105" t="s">
        <v>880</v>
      </c>
      <c r="K105" t="str">
        <f>IF(Tabela1[[#This Row],[Último PV]]&lt;&gt;"","Sim","Nao")</f>
        <v>Sim</v>
      </c>
      <c r="L105" s="9">
        <v>12200.05</v>
      </c>
    </row>
    <row r="106" spans="1:12" x14ac:dyDescent="0.25">
      <c r="A106" t="s">
        <v>142</v>
      </c>
      <c r="B106" t="s">
        <v>359</v>
      </c>
      <c r="C106" t="s">
        <v>304</v>
      </c>
      <c r="D106" t="s">
        <v>200</v>
      </c>
      <c r="G106" s="6" t="s">
        <v>885</v>
      </c>
      <c r="H106" s="7" t="s">
        <v>885</v>
      </c>
      <c r="I106" s="7" t="s">
        <v>885</v>
      </c>
      <c r="K106" t="str">
        <f>IF(Tabela1[[#This Row],[Último PV]]&lt;&gt;"","Sim","Nao")</f>
        <v>Nao</v>
      </c>
      <c r="L106" s="9" t="s">
        <v>885</v>
      </c>
    </row>
    <row r="107" spans="1:12" x14ac:dyDescent="0.25">
      <c r="A107" t="s">
        <v>142</v>
      </c>
      <c r="B107" t="s">
        <v>360</v>
      </c>
      <c r="C107" t="s">
        <v>305</v>
      </c>
      <c r="D107" t="s">
        <v>201</v>
      </c>
      <c r="G107" s="6" t="s">
        <v>885</v>
      </c>
      <c r="H107" s="7" t="s">
        <v>885</v>
      </c>
      <c r="I107" s="7" t="s">
        <v>885</v>
      </c>
      <c r="K107" t="str">
        <f>IF(Tabela1[[#This Row],[Último PV]]&lt;&gt;"","Sim","Nao")</f>
        <v>Nao</v>
      </c>
      <c r="L107" s="9" t="s">
        <v>885</v>
      </c>
    </row>
    <row r="108" spans="1:12" x14ac:dyDescent="0.25">
      <c r="A108" t="s">
        <v>142</v>
      </c>
      <c r="B108" t="s">
        <v>361</v>
      </c>
      <c r="C108" t="s">
        <v>306</v>
      </c>
      <c r="D108" t="s">
        <v>202</v>
      </c>
      <c r="G108" s="6">
        <v>8506</v>
      </c>
      <c r="H108" s="7">
        <v>45672</v>
      </c>
      <c r="I108" s="7" t="s">
        <v>884</v>
      </c>
      <c r="J108" t="s">
        <v>879</v>
      </c>
      <c r="K108" t="str">
        <f>IF(Tabela1[[#This Row],[Último PV]]&lt;&gt;"","Sim","Nao")</f>
        <v>Sim</v>
      </c>
      <c r="L108" s="9">
        <v>6061</v>
      </c>
    </row>
    <row r="109" spans="1:12" x14ac:dyDescent="0.25">
      <c r="A109" t="s">
        <v>142</v>
      </c>
      <c r="B109" t="s">
        <v>361</v>
      </c>
      <c r="C109" t="s">
        <v>307</v>
      </c>
      <c r="D109" t="s">
        <v>203</v>
      </c>
      <c r="G109" s="6">
        <v>8367</v>
      </c>
      <c r="H109" s="7">
        <v>45637</v>
      </c>
      <c r="I109" s="7" t="s">
        <v>884</v>
      </c>
      <c r="J109" t="s">
        <v>879</v>
      </c>
      <c r="K109" t="str">
        <f>IF(Tabela1[[#This Row],[Último PV]]&lt;&gt;"","Sim","Nao")</f>
        <v>Sim</v>
      </c>
      <c r="L109" s="9">
        <v>3719.57</v>
      </c>
    </row>
    <row r="110" spans="1:12" x14ac:dyDescent="0.25">
      <c r="A110" t="s">
        <v>142</v>
      </c>
      <c r="B110" t="s">
        <v>360</v>
      </c>
      <c r="C110" t="s">
        <v>308</v>
      </c>
      <c r="D110" t="s">
        <v>204</v>
      </c>
      <c r="G110" s="6" t="s">
        <v>885</v>
      </c>
      <c r="H110" s="7" t="s">
        <v>885</v>
      </c>
      <c r="I110" s="7" t="s">
        <v>885</v>
      </c>
      <c r="K110" t="str">
        <f>IF(Tabela1[[#This Row],[Último PV]]&lt;&gt;"","Sim","Nao")</f>
        <v>Nao</v>
      </c>
      <c r="L110" s="9" t="s">
        <v>885</v>
      </c>
    </row>
    <row r="111" spans="1:12" x14ac:dyDescent="0.25">
      <c r="A111" t="s">
        <v>142</v>
      </c>
      <c r="B111" t="s">
        <v>359</v>
      </c>
      <c r="C111" t="s">
        <v>309</v>
      </c>
      <c r="D111" t="s">
        <v>205</v>
      </c>
      <c r="G111" s="6" t="s">
        <v>885</v>
      </c>
      <c r="H111" s="7" t="s">
        <v>885</v>
      </c>
      <c r="I111" s="7" t="s">
        <v>885</v>
      </c>
      <c r="K111" t="str">
        <f>IF(Tabela1[[#This Row],[Último PV]]&lt;&gt;"","Sim","Nao")</f>
        <v>Nao</v>
      </c>
      <c r="L111" s="9" t="s">
        <v>885</v>
      </c>
    </row>
    <row r="112" spans="1:12" x14ac:dyDescent="0.25">
      <c r="A112" t="s">
        <v>142</v>
      </c>
      <c r="B112" t="s">
        <v>359</v>
      </c>
      <c r="C112" t="s">
        <v>310</v>
      </c>
      <c r="D112" t="s">
        <v>206</v>
      </c>
      <c r="G112" s="6" t="s">
        <v>885</v>
      </c>
      <c r="H112" s="7" t="s">
        <v>885</v>
      </c>
      <c r="I112" s="7" t="s">
        <v>885</v>
      </c>
      <c r="K112" t="str">
        <f>IF(Tabela1[[#This Row],[Último PV]]&lt;&gt;"","Sim","Nao")</f>
        <v>Nao</v>
      </c>
      <c r="L112" s="9" t="s">
        <v>885</v>
      </c>
    </row>
    <row r="113" spans="1:12" x14ac:dyDescent="0.25">
      <c r="A113" t="s">
        <v>142</v>
      </c>
      <c r="B113" t="s">
        <v>360</v>
      </c>
      <c r="C113" t="s">
        <v>304</v>
      </c>
      <c r="D113" t="s">
        <v>207</v>
      </c>
      <c r="G113" s="6">
        <v>7886</v>
      </c>
      <c r="H113" s="7">
        <v>45546</v>
      </c>
      <c r="I113" s="7" t="s">
        <v>884</v>
      </c>
      <c r="J113" t="s">
        <v>879</v>
      </c>
      <c r="K113" t="str">
        <f>IF(Tabela1[[#This Row],[Último PV]]&lt;&gt;"","Sim","Nao")</f>
        <v>Sim</v>
      </c>
      <c r="L113" s="9">
        <v>2084.17</v>
      </c>
    </row>
    <row r="114" spans="1:12" x14ac:dyDescent="0.25">
      <c r="A114" t="s">
        <v>142</v>
      </c>
      <c r="B114" t="s">
        <v>360</v>
      </c>
      <c r="C114" t="s">
        <v>311</v>
      </c>
      <c r="D114" t="s">
        <v>208</v>
      </c>
      <c r="G114" s="6" t="s">
        <v>885</v>
      </c>
      <c r="H114" s="7" t="s">
        <v>885</v>
      </c>
      <c r="I114" s="7" t="s">
        <v>885</v>
      </c>
      <c r="K114" t="str">
        <f>IF(Tabela1[[#This Row],[Último PV]]&lt;&gt;"","Sim","Nao")</f>
        <v>Nao</v>
      </c>
      <c r="L114" s="9" t="s">
        <v>885</v>
      </c>
    </row>
    <row r="115" spans="1:12" x14ac:dyDescent="0.25">
      <c r="A115" t="s">
        <v>142</v>
      </c>
      <c r="B115" t="s">
        <v>361</v>
      </c>
      <c r="C115" t="s">
        <v>312</v>
      </c>
      <c r="D115" t="s">
        <v>209</v>
      </c>
      <c r="G115" s="6">
        <v>8167</v>
      </c>
      <c r="H115" s="7">
        <v>45596</v>
      </c>
      <c r="I115" s="7" t="s">
        <v>884</v>
      </c>
      <c r="J115" t="s">
        <v>880</v>
      </c>
      <c r="K115" t="str">
        <f>IF(Tabela1[[#This Row],[Último PV]]&lt;&gt;"","Sim","Nao")</f>
        <v>Sim</v>
      </c>
      <c r="L115" s="9">
        <v>23593.279999999999</v>
      </c>
    </row>
    <row r="116" spans="1:12" x14ac:dyDescent="0.25">
      <c r="A116" t="s">
        <v>142</v>
      </c>
      <c r="B116" t="s">
        <v>361</v>
      </c>
      <c r="C116" t="s">
        <v>313</v>
      </c>
      <c r="D116" t="s">
        <v>210</v>
      </c>
      <c r="G116" s="6">
        <v>8520</v>
      </c>
      <c r="H116" s="7">
        <v>45674</v>
      </c>
      <c r="I116" s="7" t="s">
        <v>884</v>
      </c>
      <c r="J116" t="s">
        <v>879</v>
      </c>
      <c r="K116" t="str">
        <f>IF(Tabela1[[#This Row],[Último PV]]&lt;&gt;"","Sim","Nao")</f>
        <v>Sim</v>
      </c>
      <c r="L116" s="9">
        <v>736.6</v>
      </c>
    </row>
    <row r="117" spans="1:12" x14ac:dyDescent="0.25">
      <c r="A117" t="s">
        <v>142</v>
      </c>
      <c r="B117" t="s">
        <v>359</v>
      </c>
      <c r="C117" t="s">
        <v>314</v>
      </c>
      <c r="D117" t="s">
        <v>211</v>
      </c>
      <c r="G117" s="6" t="s">
        <v>885</v>
      </c>
      <c r="H117" s="7" t="s">
        <v>885</v>
      </c>
      <c r="I117" s="7" t="s">
        <v>885</v>
      </c>
      <c r="K117" t="str">
        <f>IF(Tabela1[[#This Row],[Último PV]]&lt;&gt;"","Sim","Nao")</f>
        <v>Nao</v>
      </c>
      <c r="L117" s="9" t="s">
        <v>885</v>
      </c>
    </row>
    <row r="118" spans="1:12" x14ac:dyDescent="0.25">
      <c r="A118" t="s">
        <v>142</v>
      </c>
      <c r="B118" t="s">
        <v>359</v>
      </c>
      <c r="C118" t="s">
        <v>315</v>
      </c>
      <c r="D118" t="s">
        <v>212</v>
      </c>
      <c r="G118" s="6" t="s">
        <v>885</v>
      </c>
      <c r="H118" s="7" t="s">
        <v>885</v>
      </c>
      <c r="I118" s="7" t="s">
        <v>885</v>
      </c>
      <c r="K118" t="str">
        <f>IF(Tabela1[[#This Row],[Último PV]]&lt;&gt;"","Sim","Nao")</f>
        <v>Nao</v>
      </c>
      <c r="L118" s="9" t="s">
        <v>885</v>
      </c>
    </row>
    <row r="119" spans="1:12" x14ac:dyDescent="0.25">
      <c r="A119" t="s">
        <v>142</v>
      </c>
      <c r="B119" t="s">
        <v>359</v>
      </c>
      <c r="C119" t="s">
        <v>316</v>
      </c>
      <c r="D119" t="s">
        <v>213</v>
      </c>
      <c r="G119" s="6" t="s">
        <v>885</v>
      </c>
      <c r="H119" s="7" t="s">
        <v>885</v>
      </c>
      <c r="I119" s="7" t="s">
        <v>885</v>
      </c>
      <c r="K119" t="str">
        <f>IF(Tabela1[[#This Row],[Último PV]]&lt;&gt;"","Sim","Nao")</f>
        <v>Nao</v>
      </c>
      <c r="L119" s="9" t="s">
        <v>885</v>
      </c>
    </row>
    <row r="120" spans="1:12" x14ac:dyDescent="0.25">
      <c r="A120" t="s">
        <v>142</v>
      </c>
      <c r="B120" t="s">
        <v>359</v>
      </c>
      <c r="C120" t="s">
        <v>317</v>
      </c>
      <c r="D120" t="s">
        <v>214</v>
      </c>
      <c r="G120" s="6">
        <v>7432</v>
      </c>
      <c r="H120" s="7">
        <v>45450</v>
      </c>
      <c r="I120" s="7" t="s">
        <v>884</v>
      </c>
      <c r="J120" t="s">
        <v>879</v>
      </c>
      <c r="K120" t="str">
        <f>IF(Tabela1[[#This Row],[Último PV]]&lt;&gt;"","Sim","Nao")</f>
        <v>Sim</v>
      </c>
      <c r="L120" s="9">
        <v>1622.16</v>
      </c>
    </row>
    <row r="121" spans="1:12" x14ac:dyDescent="0.25">
      <c r="A121" t="s">
        <v>142</v>
      </c>
      <c r="B121" t="s">
        <v>362</v>
      </c>
      <c r="C121" t="s">
        <v>318</v>
      </c>
      <c r="D121" t="s">
        <v>215</v>
      </c>
      <c r="G121" s="6" t="s">
        <v>885</v>
      </c>
      <c r="H121" s="7" t="s">
        <v>885</v>
      </c>
      <c r="I121" s="7" t="s">
        <v>885</v>
      </c>
      <c r="K121" t="str">
        <f>IF(Tabela1[[#This Row],[Último PV]]&lt;&gt;"","Sim","Nao")</f>
        <v>Nao</v>
      </c>
      <c r="L121" s="9" t="s">
        <v>885</v>
      </c>
    </row>
    <row r="122" spans="1:12" x14ac:dyDescent="0.25">
      <c r="A122" t="s">
        <v>142</v>
      </c>
      <c r="B122" t="s">
        <v>359</v>
      </c>
      <c r="C122" t="s">
        <v>319</v>
      </c>
      <c r="D122" t="s">
        <v>216</v>
      </c>
      <c r="G122" s="6" t="s">
        <v>885</v>
      </c>
      <c r="H122" s="7" t="s">
        <v>885</v>
      </c>
      <c r="I122" s="7" t="s">
        <v>885</v>
      </c>
      <c r="K122" t="str">
        <f>IF(Tabela1[[#This Row],[Último PV]]&lt;&gt;"","Sim","Nao")</f>
        <v>Nao</v>
      </c>
      <c r="L122" s="9" t="s">
        <v>885</v>
      </c>
    </row>
    <row r="123" spans="1:12" x14ac:dyDescent="0.25">
      <c r="A123" t="s">
        <v>142</v>
      </c>
      <c r="B123" t="s">
        <v>359</v>
      </c>
      <c r="C123" t="s">
        <v>320</v>
      </c>
      <c r="D123" t="s">
        <v>217</v>
      </c>
      <c r="G123" s="6" t="s">
        <v>885</v>
      </c>
      <c r="H123" s="7" t="s">
        <v>885</v>
      </c>
      <c r="I123" s="7" t="s">
        <v>885</v>
      </c>
      <c r="K123" t="str">
        <f>IF(Tabela1[[#This Row],[Último PV]]&lt;&gt;"","Sim","Nao")</f>
        <v>Nao</v>
      </c>
      <c r="L123" s="9" t="s">
        <v>885</v>
      </c>
    </row>
    <row r="124" spans="1:12" x14ac:dyDescent="0.25">
      <c r="A124" t="s">
        <v>142</v>
      </c>
      <c r="B124" t="s">
        <v>361</v>
      </c>
      <c r="C124" t="s">
        <v>321</v>
      </c>
      <c r="D124" t="s">
        <v>218</v>
      </c>
      <c r="G124" s="6" t="s">
        <v>885</v>
      </c>
      <c r="H124" s="7" t="s">
        <v>885</v>
      </c>
      <c r="I124" s="7" t="s">
        <v>885</v>
      </c>
      <c r="K124" t="str">
        <f>IF(Tabela1[[#This Row],[Último PV]]&lt;&gt;"","Sim","Nao")</f>
        <v>Nao</v>
      </c>
      <c r="L124" s="9" t="s">
        <v>885</v>
      </c>
    </row>
    <row r="125" spans="1:12" x14ac:dyDescent="0.25">
      <c r="A125" t="s">
        <v>142</v>
      </c>
      <c r="B125" t="s">
        <v>361</v>
      </c>
      <c r="C125" t="s">
        <v>322</v>
      </c>
      <c r="D125" t="s">
        <v>219</v>
      </c>
      <c r="G125" s="6">
        <v>9326</v>
      </c>
      <c r="H125" s="7">
        <v>45818</v>
      </c>
      <c r="I125" s="7" t="s">
        <v>884</v>
      </c>
      <c r="J125" t="s">
        <v>880</v>
      </c>
      <c r="K125" t="str">
        <f>IF(Tabela1[[#This Row],[Último PV]]&lt;&gt;"","Sim","Nao")</f>
        <v>Sim</v>
      </c>
      <c r="L125" s="9">
        <v>11118.24</v>
      </c>
    </row>
    <row r="126" spans="1:12" x14ac:dyDescent="0.25">
      <c r="A126" t="s">
        <v>142</v>
      </c>
      <c r="B126" t="s">
        <v>361</v>
      </c>
      <c r="C126" t="s">
        <v>323</v>
      </c>
      <c r="D126" t="s">
        <v>220</v>
      </c>
      <c r="G126" s="6" t="s">
        <v>885</v>
      </c>
      <c r="H126" s="7" t="s">
        <v>885</v>
      </c>
      <c r="I126" s="7" t="s">
        <v>885</v>
      </c>
      <c r="K126" t="str">
        <f>IF(Tabela1[[#This Row],[Último PV]]&lt;&gt;"","Sim","Nao")</f>
        <v>Nao</v>
      </c>
      <c r="L126" s="9" t="s">
        <v>885</v>
      </c>
    </row>
    <row r="127" spans="1:12" x14ac:dyDescent="0.25">
      <c r="A127" t="s">
        <v>142</v>
      </c>
      <c r="B127" t="s">
        <v>359</v>
      </c>
      <c r="C127" t="s">
        <v>324</v>
      </c>
      <c r="D127" t="s">
        <v>221</v>
      </c>
      <c r="G127" s="6" t="s">
        <v>885</v>
      </c>
      <c r="H127" s="7" t="s">
        <v>885</v>
      </c>
      <c r="I127" s="7" t="s">
        <v>885</v>
      </c>
      <c r="K127" t="str">
        <f>IF(Tabela1[[#This Row],[Último PV]]&lt;&gt;"","Sim","Nao")</f>
        <v>Nao</v>
      </c>
      <c r="L127" s="9" t="s">
        <v>885</v>
      </c>
    </row>
    <row r="128" spans="1:12" x14ac:dyDescent="0.25">
      <c r="A128" t="s">
        <v>142</v>
      </c>
      <c r="B128" t="s">
        <v>361</v>
      </c>
      <c r="C128" t="s">
        <v>325</v>
      </c>
      <c r="D128" t="s">
        <v>222</v>
      </c>
      <c r="G128" s="6" t="s">
        <v>885</v>
      </c>
      <c r="H128" s="7" t="s">
        <v>885</v>
      </c>
      <c r="I128" s="7" t="s">
        <v>885</v>
      </c>
      <c r="K128" t="str">
        <f>IF(Tabela1[[#This Row],[Último PV]]&lt;&gt;"","Sim","Nao")</f>
        <v>Nao</v>
      </c>
      <c r="L128" s="9" t="s">
        <v>885</v>
      </c>
    </row>
    <row r="129" spans="1:12" x14ac:dyDescent="0.25">
      <c r="A129" t="s">
        <v>142</v>
      </c>
      <c r="B129" t="s">
        <v>361</v>
      </c>
      <c r="C129" t="s">
        <v>326</v>
      </c>
      <c r="D129" t="s">
        <v>223</v>
      </c>
      <c r="G129" s="6">
        <v>9802</v>
      </c>
      <c r="H129" s="7">
        <v>45904</v>
      </c>
      <c r="I129" s="7" t="s">
        <v>884</v>
      </c>
      <c r="J129" t="s">
        <v>879</v>
      </c>
      <c r="K129" t="str">
        <f>IF(Tabela1[[#This Row],[Último PV]]&lt;&gt;"","Sim","Nao")</f>
        <v>Sim</v>
      </c>
      <c r="L129" s="9">
        <v>4235.6400000000003</v>
      </c>
    </row>
    <row r="130" spans="1:12" x14ac:dyDescent="0.25">
      <c r="A130" t="s">
        <v>142</v>
      </c>
      <c r="B130" t="s">
        <v>361</v>
      </c>
      <c r="C130" t="s">
        <v>327</v>
      </c>
      <c r="D130" t="s">
        <v>224</v>
      </c>
      <c r="G130" s="6">
        <v>9540</v>
      </c>
      <c r="H130" s="7">
        <v>45856</v>
      </c>
      <c r="I130" s="7" t="s">
        <v>884</v>
      </c>
      <c r="J130" t="s">
        <v>879</v>
      </c>
      <c r="K130" t="str">
        <f>IF(Tabela1[[#This Row],[Último PV]]&lt;&gt;"","Sim","Nao")</f>
        <v>Sim</v>
      </c>
      <c r="L130" s="9">
        <v>4312.1000000000004</v>
      </c>
    </row>
    <row r="131" spans="1:12" x14ac:dyDescent="0.25">
      <c r="A131" t="s">
        <v>142</v>
      </c>
      <c r="B131" t="s">
        <v>363</v>
      </c>
      <c r="C131" t="s">
        <v>328</v>
      </c>
      <c r="D131" t="s">
        <v>225</v>
      </c>
      <c r="G131" s="6">
        <v>6357</v>
      </c>
      <c r="H131" s="7">
        <v>45170</v>
      </c>
      <c r="I131" s="7" t="s">
        <v>884</v>
      </c>
      <c r="J131" t="s">
        <v>879</v>
      </c>
      <c r="K131" t="str">
        <f>IF(Tabela1[[#This Row],[Último PV]]&lt;&gt;"","Sim","Nao")</f>
        <v>Sim</v>
      </c>
      <c r="L131" s="9">
        <v>17861.28</v>
      </c>
    </row>
    <row r="132" spans="1:12" x14ac:dyDescent="0.25">
      <c r="A132" t="s">
        <v>142</v>
      </c>
      <c r="B132" t="s">
        <v>359</v>
      </c>
      <c r="C132" t="s">
        <v>329</v>
      </c>
      <c r="D132" t="s">
        <v>226</v>
      </c>
      <c r="G132" s="6" t="s">
        <v>885</v>
      </c>
      <c r="H132" s="7" t="s">
        <v>885</v>
      </c>
      <c r="I132" s="7" t="s">
        <v>885</v>
      </c>
      <c r="K132" t="str">
        <f>IF(Tabela1[[#This Row],[Último PV]]&lt;&gt;"","Sim","Nao")</f>
        <v>Nao</v>
      </c>
      <c r="L132" s="9" t="s">
        <v>885</v>
      </c>
    </row>
    <row r="133" spans="1:12" x14ac:dyDescent="0.25">
      <c r="A133" t="s">
        <v>142</v>
      </c>
      <c r="B133" t="s">
        <v>364</v>
      </c>
      <c r="C133" t="s">
        <v>330</v>
      </c>
      <c r="D133" t="s">
        <v>227</v>
      </c>
      <c r="G133" s="6">
        <v>9583</v>
      </c>
      <c r="H133" s="7">
        <v>45867</v>
      </c>
      <c r="I133" s="7" t="s">
        <v>884</v>
      </c>
      <c r="J133" t="s">
        <v>879</v>
      </c>
      <c r="K133" t="str">
        <f>IF(Tabela1[[#This Row],[Último PV]]&lt;&gt;"","Sim","Nao")</f>
        <v>Sim</v>
      </c>
      <c r="L133" s="9">
        <v>6397.82</v>
      </c>
    </row>
    <row r="134" spans="1:12" x14ac:dyDescent="0.25">
      <c r="A134" t="s">
        <v>142</v>
      </c>
      <c r="B134" t="s">
        <v>359</v>
      </c>
      <c r="C134" t="s">
        <v>331</v>
      </c>
      <c r="D134" t="s">
        <v>228</v>
      </c>
      <c r="G134" s="6" t="s">
        <v>885</v>
      </c>
      <c r="H134" s="7" t="s">
        <v>885</v>
      </c>
      <c r="I134" s="7" t="s">
        <v>885</v>
      </c>
      <c r="K134" t="str">
        <f>IF(Tabela1[[#This Row],[Último PV]]&lt;&gt;"","Sim","Nao")</f>
        <v>Nao</v>
      </c>
      <c r="L134" s="9" t="s">
        <v>885</v>
      </c>
    </row>
    <row r="135" spans="1:12" x14ac:dyDescent="0.25">
      <c r="A135" t="s">
        <v>142</v>
      </c>
      <c r="B135" t="s">
        <v>359</v>
      </c>
      <c r="C135" t="s">
        <v>332</v>
      </c>
      <c r="D135" t="s">
        <v>229</v>
      </c>
      <c r="G135" s="6" t="s">
        <v>885</v>
      </c>
      <c r="H135" s="7" t="s">
        <v>885</v>
      </c>
      <c r="I135" s="7" t="s">
        <v>885</v>
      </c>
      <c r="K135" t="str">
        <f>IF(Tabela1[[#This Row],[Último PV]]&lt;&gt;"","Sim","Nao")</f>
        <v>Nao</v>
      </c>
      <c r="L135" s="9" t="s">
        <v>885</v>
      </c>
    </row>
    <row r="136" spans="1:12" x14ac:dyDescent="0.25">
      <c r="A136" t="s">
        <v>142</v>
      </c>
      <c r="B136" t="s">
        <v>360</v>
      </c>
      <c r="C136" t="s">
        <v>333</v>
      </c>
      <c r="D136" t="s">
        <v>230</v>
      </c>
      <c r="G136" s="6">
        <v>10038</v>
      </c>
      <c r="H136" s="7">
        <v>45945</v>
      </c>
      <c r="I136" s="7" t="s">
        <v>884</v>
      </c>
      <c r="J136" t="s">
        <v>879</v>
      </c>
      <c r="K136" t="str">
        <f>IF(Tabela1[[#This Row],[Último PV]]&lt;&gt;"","Sim","Nao")</f>
        <v>Sim</v>
      </c>
      <c r="L136" s="9">
        <v>34695.699999999997</v>
      </c>
    </row>
    <row r="137" spans="1:12" x14ac:dyDescent="0.25">
      <c r="A137" t="s">
        <v>142</v>
      </c>
      <c r="B137" t="s">
        <v>360</v>
      </c>
      <c r="C137" t="s">
        <v>334</v>
      </c>
      <c r="D137" t="s">
        <v>231</v>
      </c>
      <c r="G137" s="6" t="s">
        <v>885</v>
      </c>
      <c r="H137" s="7" t="s">
        <v>885</v>
      </c>
      <c r="I137" s="7" t="s">
        <v>885</v>
      </c>
      <c r="K137" t="str">
        <f>IF(Tabela1[[#This Row],[Último PV]]&lt;&gt;"","Sim","Nao")</f>
        <v>Nao</v>
      </c>
      <c r="L137" s="9" t="s">
        <v>885</v>
      </c>
    </row>
    <row r="138" spans="1:12" x14ac:dyDescent="0.25">
      <c r="A138" t="s">
        <v>142</v>
      </c>
      <c r="B138" t="s">
        <v>360</v>
      </c>
      <c r="C138" t="s">
        <v>335</v>
      </c>
      <c r="D138" t="s">
        <v>232</v>
      </c>
      <c r="G138" s="6">
        <v>10041</v>
      </c>
      <c r="H138" s="7">
        <v>45946</v>
      </c>
      <c r="I138" s="7" t="s">
        <v>884</v>
      </c>
      <c r="J138" t="s">
        <v>879</v>
      </c>
      <c r="K138" t="str">
        <f>IF(Tabela1[[#This Row],[Último PV]]&lt;&gt;"","Sim","Nao")</f>
        <v>Sim</v>
      </c>
      <c r="L138" s="9">
        <v>4312.1000000000004</v>
      </c>
    </row>
    <row r="139" spans="1:12" x14ac:dyDescent="0.25">
      <c r="A139" t="s">
        <v>142</v>
      </c>
      <c r="B139" t="s">
        <v>360</v>
      </c>
      <c r="C139" t="s">
        <v>336</v>
      </c>
      <c r="D139" t="s">
        <v>233</v>
      </c>
      <c r="G139" s="6" t="s">
        <v>885</v>
      </c>
      <c r="H139" s="7" t="s">
        <v>885</v>
      </c>
      <c r="I139" s="7" t="s">
        <v>885</v>
      </c>
      <c r="K139" t="str">
        <f>IF(Tabela1[[#This Row],[Último PV]]&lt;&gt;"","Sim","Nao")</f>
        <v>Nao</v>
      </c>
      <c r="L139" s="9" t="s">
        <v>885</v>
      </c>
    </row>
    <row r="140" spans="1:12" x14ac:dyDescent="0.25">
      <c r="A140" t="s">
        <v>142</v>
      </c>
      <c r="B140" t="s">
        <v>360</v>
      </c>
      <c r="C140" t="s">
        <v>337</v>
      </c>
      <c r="D140" t="s">
        <v>234</v>
      </c>
      <c r="G140" s="6">
        <v>8254</v>
      </c>
      <c r="H140" s="7">
        <v>45615</v>
      </c>
      <c r="I140" s="7" t="s">
        <v>884</v>
      </c>
      <c r="J140" t="s">
        <v>879</v>
      </c>
      <c r="K140" t="str">
        <f>IF(Tabela1[[#This Row],[Último PV]]&lt;&gt;"","Sim","Nao")</f>
        <v>Sim</v>
      </c>
      <c r="L140" s="9">
        <v>8913.6</v>
      </c>
    </row>
    <row r="141" spans="1:12" x14ac:dyDescent="0.25">
      <c r="A141" t="s">
        <v>142</v>
      </c>
      <c r="B141" t="s">
        <v>360</v>
      </c>
      <c r="C141" t="s">
        <v>338</v>
      </c>
      <c r="D141" t="s">
        <v>235</v>
      </c>
      <c r="G141" s="6" t="s">
        <v>885</v>
      </c>
      <c r="H141" s="7" t="s">
        <v>885</v>
      </c>
      <c r="I141" s="7" t="s">
        <v>885</v>
      </c>
      <c r="K141" t="str">
        <f>IF(Tabela1[[#This Row],[Último PV]]&lt;&gt;"","Sim","Nao")</f>
        <v>Nao</v>
      </c>
      <c r="L141" s="9" t="s">
        <v>885</v>
      </c>
    </row>
    <row r="142" spans="1:12" x14ac:dyDescent="0.25">
      <c r="A142" t="s">
        <v>142</v>
      </c>
      <c r="B142" t="s">
        <v>360</v>
      </c>
      <c r="C142" t="s">
        <v>339</v>
      </c>
      <c r="D142" t="s">
        <v>236</v>
      </c>
      <c r="G142" s="6">
        <v>8867</v>
      </c>
      <c r="H142" s="7">
        <v>45743</v>
      </c>
      <c r="I142" s="7" t="s">
        <v>884</v>
      </c>
      <c r="J142" t="s">
        <v>879</v>
      </c>
      <c r="K142" t="str">
        <f>IF(Tabela1[[#This Row],[Último PV]]&lt;&gt;"","Sim","Nao")</f>
        <v>Sim</v>
      </c>
      <c r="L142" s="9">
        <v>10764.75</v>
      </c>
    </row>
    <row r="143" spans="1:12" x14ac:dyDescent="0.25">
      <c r="A143" t="s">
        <v>142</v>
      </c>
      <c r="B143" t="s">
        <v>360</v>
      </c>
      <c r="C143" t="s">
        <v>340</v>
      </c>
      <c r="D143" t="s">
        <v>237</v>
      </c>
      <c r="G143" s="6" t="s">
        <v>885</v>
      </c>
      <c r="H143" s="7" t="s">
        <v>885</v>
      </c>
      <c r="I143" s="7" t="s">
        <v>885</v>
      </c>
      <c r="K143" t="str">
        <f>IF(Tabela1[[#This Row],[Último PV]]&lt;&gt;"","Sim","Nao")</f>
        <v>Nao</v>
      </c>
      <c r="L143" s="9" t="s">
        <v>885</v>
      </c>
    </row>
    <row r="144" spans="1:12" x14ac:dyDescent="0.25">
      <c r="A144" t="s">
        <v>142</v>
      </c>
      <c r="B144" t="s">
        <v>360</v>
      </c>
      <c r="C144" t="s">
        <v>341</v>
      </c>
      <c r="D144" t="s">
        <v>238</v>
      </c>
      <c r="G144" s="6">
        <v>7554</v>
      </c>
      <c r="H144" s="7">
        <v>45477</v>
      </c>
      <c r="I144" s="7" t="s">
        <v>884</v>
      </c>
      <c r="J144" t="s">
        <v>879</v>
      </c>
      <c r="K144" t="str">
        <f>IF(Tabela1[[#This Row],[Último PV]]&lt;&gt;"","Sim","Nao")</f>
        <v>Sim</v>
      </c>
      <c r="L144" s="9">
        <v>1170.6099999999999</v>
      </c>
    </row>
    <row r="145" spans="1:12" x14ac:dyDescent="0.25">
      <c r="A145" t="s">
        <v>142</v>
      </c>
      <c r="B145" t="s">
        <v>360</v>
      </c>
      <c r="C145" t="s">
        <v>342</v>
      </c>
      <c r="D145" t="s">
        <v>239</v>
      </c>
      <c r="G145" s="6">
        <v>6400</v>
      </c>
      <c r="H145" s="7">
        <v>45184</v>
      </c>
      <c r="I145" s="7" t="s">
        <v>884</v>
      </c>
      <c r="J145" t="s">
        <v>879</v>
      </c>
      <c r="K145" t="str">
        <f>IF(Tabela1[[#This Row],[Último PV]]&lt;&gt;"","Sim","Nao")</f>
        <v>Sim</v>
      </c>
      <c r="L145" s="9">
        <v>2289.2800000000002</v>
      </c>
    </row>
    <row r="146" spans="1:12" x14ac:dyDescent="0.25">
      <c r="A146" t="s">
        <v>142</v>
      </c>
      <c r="B146" t="s">
        <v>360</v>
      </c>
      <c r="C146" t="s">
        <v>343</v>
      </c>
      <c r="D146" t="s">
        <v>240</v>
      </c>
      <c r="G146" s="6" t="s">
        <v>885</v>
      </c>
      <c r="H146" s="7" t="s">
        <v>885</v>
      </c>
      <c r="I146" s="7" t="s">
        <v>885</v>
      </c>
      <c r="K146" t="str">
        <f>IF(Tabela1[[#This Row],[Último PV]]&lt;&gt;"","Sim","Nao")</f>
        <v>Nao</v>
      </c>
      <c r="L146" s="9" t="s">
        <v>885</v>
      </c>
    </row>
    <row r="147" spans="1:12" x14ac:dyDescent="0.25">
      <c r="A147" t="s">
        <v>142</v>
      </c>
      <c r="B147" t="s">
        <v>360</v>
      </c>
      <c r="C147" t="s">
        <v>344</v>
      </c>
      <c r="D147" t="s">
        <v>241</v>
      </c>
      <c r="G147" s="6">
        <v>9659</v>
      </c>
      <c r="H147" s="7">
        <v>45882</v>
      </c>
      <c r="I147" s="7" t="s">
        <v>884</v>
      </c>
      <c r="J147" t="s">
        <v>879</v>
      </c>
      <c r="K147" t="str">
        <f>IF(Tabela1[[#This Row],[Último PV]]&lt;&gt;"","Sim","Nao")</f>
        <v>Sim</v>
      </c>
      <c r="L147" s="9">
        <v>2906.18</v>
      </c>
    </row>
    <row r="148" spans="1:12" x14ac:dyDescent="0.25">
      <c r="A148" t="s">
        <v>142</v>
      </c>
      <c r="B148" t="s">
        <v>360</v>
      </c>
      <c r="C148" t="s">
        <v>345</v>
      </c>
      <c r="D148" t="s">
        <v>242</v>
      </c>
      <c r="G148" s="6">
        <v>8016</v>
      </c>
      <c r="H148" s="7">
        <v>45568</v>
      </c>
      <c r="I148" s="7" t="s">
        <v>884</v>
      </c>
      <c r="J148" t="s">
        <v>879</v>
      </c>
      <c r="K148" t="str">
        <f>IF(Tabela1[[#This Row],[Último PV]]&lt;&gt;"","Sim","Nao")</f>
        <v>Sim</v>
      </c>
      <c r="L148" s="9">
        <v>5741.2</v>
      </c>
    </row>
    <row r="149" spans="1:12" x14ac:dyDescent="0.25">
      <c r="A149" t="s">
        <v>142</v>
      </c>
      <c r="B149" t="s">
        <v>360</v>
      </c>
      <c r="C149" t="s">
        <v>346</v>
      </c>
      <c r="D149" t="s">
        <v>243</v>
      </c>
      <c r="G149" s="6" t="s">
        <v>885</v>
      </c>
      <c r="H149" s="7" t="s">
        <v>885</v>
      </c>
      <c r="I149" s="7" t="s">
        <v>885</v>
      </c>
      <c r="K149" t="str">
        <f>IF(Tabela1[[#This Row],[Último PV]]&lt;&gt;"","Sim","Nao")</f>
        <v>Nao</v>
      </c>
      <c r="L149" s="9" t="s">
        <v>885</v>
      </c>
    </row>
    <row r="150" spans="1:12" x14ac:dyDescent="0.25">
      <c r="A150" t="s">
        <v>142</v>
      </c>
      <c r="B150" t="s">
        <v>360</v>
      </c>
      <c r="C150" t="s">
        <v>347</v>
      </c>
      <c r="D150" t="s">
        <v>244</v>
      </c>
      <c r="G150" s="6" t="s">
        <v>885</v>
      </c>
      <c r="H150" s="7" t="s">
        <v>885</v>
      </c>
      <c r="I150" s="7" t="s">
        <v>885</v>
      </c>
      <c r="K150" t="str">
        <f>IF(Tabela1[[#This Row],[Último PV]]&lt;&gt;"","Sim","Nao")</f>
        <v>Nao</v>
      </c>
      <c r="L150" s="9" t="s">
        <v>885</v>
      </c>
    </row>
    <row r="151" spans="1:12" x14ac:dyDescent="0.25">
      <c r="A151" t="s">
        <v>142</v>
      </c>
      <c r="B151" t="s">
        <v>360</v>
      </c>
      <c r="C151" t="s">
        <v>348</v>
      </c>
      <c r="D151" t="s">
        <v>245</v>
      </c>
      <c r="G151" s="6" t="s">
        <v>885</v>
      </c>
      <c r="H151" s="7" t="s">
        <v>885</v>
      </c>
      <c r="I151" s="7" t="s">
        <v>885</v>
      </c>
      <c r="K151" t="str">
        <f>IF(Tabela1[[#This Row],[Último PV]]&lt;&gt;"","Sim","Nao")</f>
        <v>Nao</v>
      </c>
      <c r="L151" s="9" t="s">
        <v>885</v>
      </c>
    </row>
    <row r="152" spans="1:12" x14ac:dyDescent="0.25">
      <c r="A152" t="s">
        <v>142</v>
      </c>
      <c r="B152" t="s">
        <v>360</v>
      </c>
      <c r="C152" t="s">
        <v>349</v>
      </c>
      <c r="D152" t="s">
        <v>246</v>
      </c>
      <c r="G152" s="6" t="s">
        <v>885</v>
      </c>
      <c r="H152" s="7" t="s">
        <v>885</v>
      </c>
      <c r="I152" s="7" t="s">
        <v>885</v>
      </c>
      <c r="K152" t="str">
        <f>IF(Tabela1[[#This Row],[Último PV]]&lt;&gt;"","Sim","Nao")</f>
        <v>Nao</v>
      </c>
      <c r="L152" s="9" t="s">
        <v>885</v>
      </c>
    </row>
    <row r="153" spans="1:12" x14ac:dyDescent="0.25">
      <c r="A153" t="s">
        <v>142</v>
      </c>
      <c r="B153" t="s">
        <v>360</v>
      </c>
      <c r="C153" t="s">
        <v>350</v>
      </c>
      <c r="D153" t="s">
        <v>247</v>
      </c>
      <c r="G153" s="6" t="s">
        <v>885</v>
      </c>
      <c r="H153" s="7" t="s">
        <v>885</v>
      </c>
      <c r="I153" s="7" t="s">
        <v>885</v>
      </c>
      <c r="K153" t="str">
        <f>IF(Tabela1[[#This Row],[Último PV]]&lt;&gt;"","Sim","Nao")</f>
        <v>Nao</v>
      </c>
      <c r="L153" s="9" t="s">
        <v>885</v>
      </c>
    </row>
    <row r="154" spans="1:12" x14ac:dyDescent="0.25">
      <c r="A154" t="s">
        <v>142</v>
      </c>
      <c r="B154" t="s">
        <v>360</v>
      </c>
      <c r="C154" t="s">
        <v>351</v>
      </c>
      <c r="D154" t="s">
        <v>248</v>
      </c>
      <c r="G154" s="6">
        <v>10010</v>
      </c>
      <c r="H154" s="7">
        <v>45940</v>
      </c>
      <c r="I154" s="7" t="s">
        <v>884</v>
      </c>
      <c r="J154" t="s">
        <v>879</v>
      </c>
      <c r="K154" t="str">
        <f>IF(Tabela1[[#This Row],[Último PV]]&lt;&gt;"","Sim","Nao")</f>
        <v>Sim</v>
      </c>
      <c r="L154" s="9">
        <v>4312.1000000000004</v>
      </c>
    </row>
    <row r="155" spans="1:12" x14ac:dyDescent="0.25">
      <c r="A155" t="s">
        <v>142</v>
      </c>
      <c r="B155" t="s">
        <v>360</v>
      </c>
      <c r="C155" t="s">
        <v>352</v>
      </c>
      <c r="D155" t="s">
        <v>249</v>
      </c>
      <c r="G155" s="6" t="s">
        <v>885</v>
      </c>
      <c r="H155" s="7" t="s">
        <v>885</v>
      </c>
      <c r="I155" s="7" t="s">
        <v>885</v>
      </c>
      <c r="K155" t="str">
        <f>IF(Tabela1[[#This Row],[Último PV]]&lt;&gt;"","Sim","Nao")</f>
        <v>Nao</v>
      </c>
      <c r="L155" s="9" t="s">
        <v>885</v>
      </c>
    </row>
    <row r="156" spans="1:12" x14ac:dyDescent="0.25">
      <c r="A156" t="s">
        <v>142</v>
      </c>
      <c r="B156" t="s">
        <v>360</v>
      </c>
      <c r="C156" t="s">
        <v>353</v>
      </c>
      <c r="D156" t="s">
        <v>250</v>
      </c>
      <c r="G156" s="6" t="s">
        <v>885</v>
      </c>
      <c r="H156" s="7" t="s">
        <v>885</v>
      </c>
      <c r="I156" s="7" t="s">
        <v>885</v>
      </c>
      <c r="K156" t="str">
        <f>IF(Tabela1[[#This Row],[Último PV]]&lt;&gt;"","Sim","Nao")</f>
        <v>Nao</v>
      </c>
      <c r="L156" s="9" t="s">
        <v>885</v>
      </c>
    </row>
    <row r="157" spans="1:12" x14ac:dyDescent="0.25">
      <c r="A157" t="s">
        <v>142</v>
      </c>
      <c r="B157" t="s">
        <v>360</v>
      </c>
      <c r="C157" t="s">
        <v>354</v>
      </c>
      <c r="D157" t="s">
        <v>251</v>
      </c>
      <c r="G157" s="6" t="s">
        <v>885</v>
      </c>
      <c r="H157" s="7" t="s">
        <v>885</v>
      </c>
      <c r="I157" s="7" t="s">
        <v>885</v>
      </c>
      <c r="K157" t="str">
        <f>IF(Tabela1[[#This Row],[Último PV]]&lt;&gt;"","Sim","Nao")</f>
        <v>Nao</v>
      </c>
      <c r="L157" s="9" t="s">
        <v>885</v>
      </c>
    </row>
    <row r="158" spans="1:12" x14ac:dyDescent="0.25">
      <c r="A158" t="s">
        <v>142</v>
      </c>
      <c r="B158" t="s">
        <v>360</v>
      </c>
      <c r="C158" t="s">
        <v>338</v>
      </c>
      <c r="D158" t="s">
        <v>252</v>
      </c>
      <c r="G158" s="6">
        <v>6326</v>
      </c>
      <c r="H158" s="7">
        <v>45167</v>
      </c>
      <c r="I158" s="7" t="s">
        <v>884</v>
      </c>
      <c r="J158" t="s">
        <v>879</v>
      </c>
      <c r="K158" t="str">
        <f>IF(Tabela1[[#This Row],[Último PV]]&lt;&gt;"","Sim","Nao")</f>
        <v>Sim</v>
      </c>
      <c r="L158" s="9">
        <v>188.49</v>
      </c>
    </row>
    <row r="159" spans="1:12" x14ac:dyDescent="0.25">
      <c r="A159" t="s">
        <v>142</v>
      </c>
      <c r="B159" t="s">
        <v>360</v>
      </c>
      <c r="C159" t="s">
        <v>355</v>
      </c>
      <c r="D159" t="s">
        <v>253</v>
      </c>
      <c r="G159" s="6" t="s">
        <v>885</v>
      </c>
      <c r="H159" s="7" t="s">
        <v>885</v>
      </c>
      <c r="I159" s="7" t="s">
        <v>885</v>
      </c>
      <c r="K159" t="str">
        <f>IF(Tabela1[[#This Row],[Último PV]]&lt;&gt;"","Sim","Nao")</f>
        <v>Nao</v>
      </c>
      <c r="L159" s="9" t="s">
        <v>885</v>
      </c>
    </row>
    <row r="160" spans="1:12" x14ac:dyDescent="0.25">
      <c r="A160" t="s">
        <v>142</v>
      </c>
      <c r="B160" t="s">
        <v>360</v>
      </c>
      <c r="C160" t="s">
        <v>338</v>
      </c>
      <c r="D160" t="s">
        <v>254</v>
      </c>
      <c r="G160" s="6" t="s">
        <v>885</v>
      </c>
      <c r="H160" s="7" t="s">
        <v>885</v>
      </c>
      <c r="I160" s="7" t="s">
        <v>885</v>
      </c>
      <c r="K160" t="str">
        <f>IF(Tabela1[[#This Row],[Último PV]]&lt;&gt;"","Sim","Nao")</f>
        <v>Nao</v>
      </c>
      <c r="L160" s="9" t="s">
        <v>885</v>
      </c>
    </row>
    <row r="161" spans="1:12" x14ac:dyDescent="0.25">
      <c r="A161" t="s">
        <v>142</v>
      </c>
      <c r="B161" t="s">
        <v>360</v>
      </c>
      <c r="C161" t="s">
        <v>356</v>
      </c>
      <c r="D161" t="s">
        <v>255</v>
      </c>
      <c r="G161" s="6" t="s">
        <v>885</v>
      </c>
      <c r="H161" s="7" t="s">
        <v>885</v>
      </c>
      <c r="I161" s="7" t="s">
        <v>885</v>
      </c>
      <c r="K161" t="str">
        <f>IF(Tabela1[[#This Row],[Último PV]]&lt;&gt;"","Sim","Nao")</f>
        <v>Nao</v>
      </c>
      <c r="L161" s="9" t="s">
        <v>885</v>
      </c>
    </row>
    <row r="162" spans="1:12" x14ac:dyDescent="0.25">
      <c r="A162" t="s">
        <v>418</v>
      </c>
      <c r="B162" t="s">
        <v>419</v>
      </c>
      <c r="C162" t="s">
        <v>420</v>
      </c>
      <c r="D162" t="s">
        <v>365</v>
      </c>
      <c r="E162" s="4">
        <v>-12616427</v>
      </c>
      <c r="F162" s="4">
        <v>-380431</v>
      </c>
      <c r="G162" s="6">
        <v>5315</v>
      </c>
      <c r="H162" s="7">
        <v>44833</v>
      </c>
      <c r="I162" s="7" t="s">
        <v>884</v>
      </c>
      <c r="K162" t="str">
        <f>IF(Tabela1[[#This Row],[Último PV]]&lt;&gt;"","Sim","Nao")</f>
        <v>Sim</v>
      </c>
      <c r="L162" s="9">
        <v>611.04999999999995</v>
      </c>
    </row>
    <row r="163" spans="1:12" x14ac:dyDescent="0.25">
      <c r="A163" t="s">
        <v>418</v>
      </c>
      <c r="B163" t="s">
        <v>419</v>
      </c>
      <c r="C163" t="s">
        <v>467</v>
      </c>
      <c r="D163" t="s">
        <v>366</v>
      </c>
      <c r="E163" s="4">
        <v>-19711</v>
      </c>
      <c r="F163" s="4">
        <v>-385108</v>
      </c>
      <c r="G163" s="6" t="s">
        <v>885</v>
      </c>
      <c r="H163" s="7" t="s">
        <v>885</v>
      </c>
      <c r="I163" s="7" t="s">
        <v>885</v>
      </c>
      <c r="K163" t="str">
        <f>IF(Tabela1[[#This Row],[Último PV]]&lt;&gt;"","Sim","Nao")</f>
        <v>Nao</v>
      </c>
      <c r="L163" s="9" t="s">
        <v>885</v>
      </c>
    </row>
    <row r="164" spans="1:12" x14ac:dyDescent="0.25">
      <c r="A164" t="s">
        <v>418</v>
      </c>
      <c r="B164" t="s">
        <v>419</v>
      </c>
      <c r="C164" t="s">
        <v>421</v>
      </c>
      <c r="D164" t="s">
        <v>367</v>
      </c>
      <c r="E164" s="4">
        <v>-121274195</v>
      </c>
      <c r="F164" s="4">
        <v>-383981227</v>
      </c>
      <c r="G164" s="6" t="s">
        <v>885</v>
      </c>
      <c r="H164" s="7" t="s">
        <v>885</v>
      </c>
      <c r="I164" s="7" t="s">
        <v>885</v>
      </c>
      <c r="K164" t="str">
        <f>IF(Tabela1[[#This Row],[Último PV]]&lt;&gt;"","Sim","Nao")</f>
        <v>Nao</v>
      </c>
      <c r="L164" s="9" t="s">
        <v>885</v>
      </c>
    </row>
    <row r="165" spans="1:12" x14ac:dyDescent="0.25">
      <c r="A165" t="s">
        <v>418</v>
      </c>
      <c r="B165" t="s">
        <v>419</v>
      </c>
      <c r="C165" t="s">
        <v>422</v>
      </c>
      <c r="D165" t="s">
        <v>368</v>
      </c>
      <c r="E165" s="4">
        <v>-128133412</v>
      </c>
      <c r="F165" s="4">
        <v>-3.8390746899999904E+16</v>
      </c>
      <c r="G165" s="6" t="s">
        <v>885</v>
      </c>
      <c r="H165" s="7" t="s">
        <v>885</v>
      </c>
      <c r="I165" s="7" t="s">
        <v>885</v>
      </c>
      <c r="K165" t="str">
        <f>IF(Tabela1[[#This Row],[Último PV]]&lt;&gt;"","Sim","Nao")</f>
        <v>Nao</v>
      </c>
      <c r="L165" s="9" t="s">
        <v>885</v>
      </c>
    </row>
    <row r="166" spans="1:12" x14ac:dyDescent="0.25">
      <c r="A166" t="s">
        <v>418</v>
      </c>
      <c r="B166" t="s">
        <v>419</v>
      </c>
      <c r="C166" t="s">
        <v>423</v>
      </c>
      <c r="D166" t="s">
        <v>369</v>
      </c>
      <c r="E166" s="4">
        <v>-123968103</v>
      </c>
      <c r="F166" s="4">
        <v>-388826584</v>
      </c>
      <c r="G166" s="6">
        <v>5717</v>
      </c>
      <c r="H166" s="7">
        <v>44981</v>
      </c>
      <c r="I166" s="7" t="s">
        <v>884</v>
      </c>
      <c r="J166" t="s">
        <v>879</v>
      </c>
      <c r="K166" t="str">
        <f>IF(Tabela1[[#This Row],[Último PV]]&lt;&gt;"","Sim","Nao")</f>
        <v>Sim</v>
      </c>
      <c r="L166" s="9">
        <v>671.86</v>
      </c>
    </row>
    <row r="167" spans="1:12" x14ac:dyDescent="0.25">
      <c r="A167" t="s">
        <v>418</v>
      </c>
      <c r="B167" t="s">
        <v>419</v>
      </c>
      <c r="C167" t="s">
        <v>424</v>
      </c>
      <c r="D167" t="s">
        <v>370</v>
      </c>
      <c r="E167" s="4">
        <v>-129274189</v>
      </c>
      <c r="F167" s="4">
        <v>-384339212</v>
      </c>
      <c r="G167" s="6" t="s">
        <v>885</v>
      </c>
      <c r="H167" s="7" t="s">
        <v>885</v>
      </c>
      <c r="I167" s="7" t="s">
        <v>885</v>
      </c>
      <c r="K167" t="str">
        <f>IF(Tabela1[[#This Row],[Último PV]]&lt;&gt;"","Sim","Nao")</f>
        <v>Nao</v>
      </c>
      <c r="L167" s="9" t="s">
        <v>885</v>
      </c>
    </row>
    <row r="168" spans="1:12" x14ac:dyDescent="0.25">
      <c r="A168" t="s">
        <v>418</v>
      </c>
      <c r="B168" t="s">
        <v>419</v>
      </c>
      <c r="C168" t="s">
        <v>425</v>
      </c>
      <c r="D168" t="s">
        <v>371</v>
      </c>
      <c r="E168" s="4">
        <v>-129559051</v>
      </c>
      <c r="F168" s="4">
        <v>-386166476</v>
      </c>
      <c r="G168" s="6">
        <v>6684</v>
      </c>
      <c r="H168" s="7">
        <v>45261</v>
      </c>
      <c r="I168" s="7" t="s">
        <v>884</v>
      </c>
      <c r="J168" t="s">
        <v>879</v>
      </c>
      <c r="K168" t="str">
        <f>IF(Tabela1[[#This Row],[Último PV]]&lt;&gt;"","Sim","Nao")</f>
        <v>Sim</v>
      </c>
      <c r="L168" s="9">
        <v>1682.32</v>
      </c>
    </row>
    <row r="169" spans="1:12" x14ac:dyDescent="0.25">
      <c r="A169" t="s">
        <v>418</v>
      </c>
      <c r="B169" t="s">
        <v>419</v>
      </c>
      <c r="C169" t="s">
        <v>426</v>
      </c>
      <c r="D169" t="s">
        <v>372</v>
      </c>
      <c r="E169" s="4">
        <v>-129119751</v>
      </c>
      <c r="F169" s="4">
        <v>-3.8450344099999904E+16</v>
      </c>
      <c r="G169" s="6">
        <v>8449</v>
      </c>
      <c r="H169" s="7">
        <v>45653</v>
      </c>
      <c r="I169" s="7" t="s">
        <v>884</v>
      </c>
      <c r="J169" t="s">
        <v>879</v>
      </c>
      <c r="K169" t="str">
        <f>IF(Tabela1[[#This Row],[Último PV]]&lt;&gt;"","Sim","Nao")</f>
        <v>Sim</v>
      </c>
      <c r="L169" s="9">
        <v>4296.8900000000003</v>
      </c>
    </row>
    <row r="170" spans="1:12" x14ac:dyDescent="0.25">
      <c r="A170" t="s">
        <v>418</v>
      </c>
      <c r="B170" t="s">
        <v>419</v>
      </c>
      <c r="C170" t="s">
        <v>427</v>
      </c>
      <c r="D170" t="s">
        <v>373</v>
      </c>
      <c r="E170" s="4">
        <v>-129968413</v>
      </c>
      <c r="F170" s="4">
        <v>-3.8443132399999904E+16</v>
      </c>
      <c r="G170" s="6" t="s">
        <v>885</v>
      </c>
      <c r="H170" s="7" t="s">
        <v>885</v>
      </c>
      <c r="I170" s="7" t="s">
        <v>885</v>
      </c>
      <c r="K170" t="str">
        <f>IF(Tabela1[[#This Row],[Último PV]]&lt;&gt;"","Sim","Nao")</f>
        <v>Nao</v>
      </c>
      <c r="L170" s="9" t="s">
        <v>885</v>
      </c>
    </row>
    <row r="171" spans="1:12" x14ac:dyDescent="0.25">
      <c r="A171" t="s">
        <v>418</v>
      </c>
      <c r="B171" t="s">
        <v>419</v>
      </c>
      <c r="C171" t="s">
        <v>428</v>
      </c>
      <c r="D171" t="s">
        <v>374</v>
      </c>
      <c r="E171" s="4">
        <v>-1.38649507999999E+16</v>
      </c>
      <c r="F171" s="4">
        <v>-400788091</v>
      </c>
      <c r="G171" s="6" t="s">
        <v>885</v>
      </c>
      <c r="H171" s="7" t="s">
        <v>885</v>
      </c>
      <c r="I171" s="7" t="s">
        <v>885</v>
      </c>
      <c r="K171" t="str">
        <f>IF(Tabela1[[#This Row],[Último PV]]&lt;&gt;"","Sim","Nao")</f>
        <v>Nao</v>
      </c>
      <c r="L171" s="9" t="s">
        <v>885</v>
      </c>
    </row>
    <row r="172" spans="1:12" x14ac:dyDescent="0.25">
      <c r="A172" t="s">
        <v>418</v>
      </c>
      <c r="B172" t="s">
        <v>419</v>
      </c>
      <c r="C172" t="s">
        <v>429</v>
      </c>
      <c r="D172" t="s">
        <v>375</v>
      </c>
      <c r="E172" s="4">
        <v>-129318364</v>
      </c>
      <c r="F172" s="4">
        <v>-3.8475677499999904E+16</v>
      </c>
      <c r="G172" s="6">
        <v>3443</v>
      </c>
      <c r="H172" s="7">
        <v>44217</v>
      </c>
      <c r="I172" s="7" t="s">
        <v>884</v>
      </c>
      <c r="K172" t="str">
        <f>IF(Tabela1[[#This Row],[Último PV]]&lt;&gt;"","Sim","Nao")</f>
        <v>Sim</v>
      </c>
      <c r="L172" s="9">
        <v>12421.02</v>
      </c>
    </row>
    <row r="173" spans="1:12" x14ac:dyDescent="0.25">
      <c r="A173" t="s">
        <v>418</v>
      </c>
      <c r="B173" t="s">
        <v>419</v>
      </c>
      <c r="C173" t="s">
        <v>430</v>
      </c>
      <c r="D173" t="s">
        <v>376</v>
      </c>
      <c r="E173" s="4">
        <v>-148659104</v>
      </c>
      <c r="F173" s="4">
        <v>-408231584</v>
      </c>
      <c r="G173" s="6">
        <v>8447</v>
      </c>
      <c r="H173" s="7">
        <v>45653</v>
      </c>
      <c r="I173" s="7" t="s">
        <v>884</v>
      </c>
      <c r="J173" t="s">
        <v>882</v>
      </c>
      <c r="K173" t="str">
        <f>IF(Tabela1[[#This Row],[Último PV]]&lt;&gt;"","Sim","Nao")</f>
        <v>Sim</v>
      </c>
      <c r="L173" s="9">
        <v>-197158.08</v>
      </c>
    </row>
    <row r="174" spans="1:12" x14ac:dyDescent="0.25">
      <c r="A174" t="s">
        <v>418</v>
      </c>
      <c r="B174" t="s">
        <v>419</v>
      </c>
      <c r="C174" t="s">
        <v>431</v>
      </c>
      <c r="D174" t="s">
        <v>377</v>
      </c>
      <c r="E174" s="4">
        <v>-1.52489479E+16</v>
      </c>
      <c r="F174" s="4">
        <v>-402573038</v>
      </c>
      <c r="G174" s="6" t="s">
        <v>885</v>
      </c>
      <c r="H174" s="7" t="s">
        <v>885</v>
      </c>
      <c r="I174" s="7" t="s">
        <v>885</v>
      </c>
      <c r="K174" t="str">
        <f>IF(Tabela1[[#This Row],[Último PV]]&lt;&gt;"","Sim","Nao")</f>
        <v>Nao</v>
      </c>
      <c r="L174" s="9" t="s">
        <v>885</v>
      </c>
    </row>
    <row r="175" spans="1:12" x14ac:dyDescent="0.25">
      <c r="A175" t="s">
        <v>418</v>
      </c>
      <c r="B175" t="s">
        <v>419</v>
      </c>
      <c r="C175" t="s">
        <v>432</v>
      </c>
      <c r="D175" t="s">
        <v>378</v>
      </c>
      <c r="E175" s="4">
        <v>-130125792</v>
      </c>
      <c r="F175" s="4">
        <v>-3.84712013E+16</v>
      </c>
      <c r="G175" s="6" t="s">
        <v>885</v>
      </c>
      <c r="H175" s="7" t="s">
        <v>885</v>
      </c>
      <c r="I175" s="7" t="s">
        <v>885</v>
      </c>
      <c r="K175" t="str">
        <f>IF(Tabela1[[#This Row],[Último PV]]&lt;&gt;"","Sim","Nao")</f>
        <v>Nao</v>
      </c>
      <c r="L175" s="9" t="s">
        <v>885</v>
      </c>
    </row>
    <row r="176" spans="1:12" x14ac:dyDescent="0.25">
      <c r="A176" t="s">
        <v>418</v>
      </c>
      <c r="B176" t="s">
        <v>419</v>
      </c>
      <c r="C176" t="s">
        <v>433</v>
      </c>
      <c r="D176" t="s">
        <v>379</v>
      </c>
      <c r="E176" s="4">
        <v>-129783393</v>
      </c>
      <c r="F176" s="4">
        <v>-384281704</v>
      </c>
      <c r="G176" s="6" t="s">
        <v>885</v>
      </c>
      <c r="H176" s="7" t="s">
        <v>885</v>
      </c>
      <c r="I176" s="7" t="s">
        <v>885</v>
      </c>
      <c r="K176" t="str">
        <f>IF(Tabela1[[#This Row],[Último PV]]&lt;&gt;"","Sim","Nao")</f>
        <v>Nao</v>
      </c>
      <c r="L176" s="9" t="s">
        <v>885</v>
      </c>
    </row>
    <row r="177" spans="1:12" x14ac:dyDescent="0.25">
      <c r="A177" t="s">
        <v>418</v>
      </c>
      <c r="B177" t="s">
        <v>419</v>
      </c>
      <c r="C177" t="s">
        <v>434</v>
      </c>
      <c r="D177" t="s">
        <v>380</v>
      </c>
      <c r="E177" s="4">
        <v>-123554622</v>
      </c>
      <c r="F177" s="4">
        <v>-3.83761429E+16</v>
      </c>
      <c r="G177" s="6" t="s">
        <v>885</v>
      </c>
      <c r="H177" s="7" t="s">
        <v>885</v>
      </c>
      <c r="I177" s="7" t="s">
        <v>885</v>
      </c>
      <c r="K177" t="str">
        <f>IF(Tabela1[[#This Row],[Último PV]]&lt;&gt;"","Sim","Nao")</f>
        <v>Nao</v>
      </c>
      <c r="L177" s="9" t="s">
        <v>885</v>
      </c>
    </row>
    <row r="178" spans="1:12" x14ac:dyDescent="0.25">
      <c r="A178" t="s">
        <v>418</v>
      </c>
      <c r="B178" t="s">
        <v>419</v>
      </c>
      <c r="C178" t="s">
        <v>435</v>
      </c>
      <c r="D178" t="s">
        <v>381</v>
      </c>
      <c r="E178" s="4">
        <v>-129434504</v>
      </c>
      <c r="F178" s="4">
        <v>-3.8496757099999904E+16</v>
      </c>
      <c r="G178" s="6" t="s">
        <v>885</v>
      </c>
      <c r="H178" s="7" t="s">
        <v>885</v>
      </c>
      <c r="I178" s="7" t="s">
        <v>885</v>
      </c>
      <c r="K178" t="str">
        <f>IF(Tabela1[[#This Row],[Último PV]]&lt;&gt;"","Sim","Nao")</f>
        <v>Nao</v>
      </c>
      <c r="L178" s="9" t="s">
        <v>885</v>
      </c>
    </row>
    <row r="179" spans="1:12" x14ac:dyDescent="0.25">
      <c r="A179" t="s">
        <v>418</v>
      </c>
      <c r="B179" t="s">
        <v>419</v>
      </c>
      <c r="C179" t="s">
        <v>436</v>
      </c>
      <c r="D179" t="s">
        <v>382</v>
      </c>
      <c r="E179" s="4">
        <v>-129233009</v>
      </c>
      <c r="F179" s="4">
        <v>-384832077</v>
      </c>
      <c r="G179" s="6" t="s">
        <v>885</v>
      </c>
      <c r="H179" s="7" t="s">
        <v>885</v>
      </c>
      <c r="I179" s="7" t="s">
        <v>885</v>
      </c>
      <c r="K179" t="str">
        <f>IF(Tabela1[[#This Row],[Último PV]]&lt;&gt;"","Sim","Nao")</f>
        <v>Nao</v>
      </c>
      <c r="L179" s="9" t="s">
        <v>885</v>
      </c>
    </row>
    <row r="180" spans="1:12" x14ac:dyDescent="0.25">
      <c r="A180" t="s">
        <v>418</v>
      </c>
      <c r="B180" t="s">
        <v>419</v>
      </c>
      <c r="C180" t="s">
        <v>437</v>
      </c>
      <c r="D180" t="s">
        <v>383</v>
      </c>
      <c r="E180" s="4">
        <v>-129683567</v>
      </c>
      <c r="F180" s="4">
        <v>-384082651</v>
      </c>
      <c r="G180" s="6">
        <v>9030</v>
      </c>
      <c r="H180" s="7">
        <v>45772</v>
      </c>
      <c r="I180" s="7" t="s">
        <v>884</v>
      </c>
      <c r="J180" t="s">
        <v>879</v>
      </c>
      <c r="K180" t="str">
        <f>IF(Tabela1[[#This Row],[Último PV]]&lt;&gt;"","Sim","Nao")</f>
        <v>Sim</v>
      </c>
      <c r="L180" s="9">
        <v>208.53</v>
      </c>
    </row>
    <row r="181" spans="1:12" x14ac:dyDescent="0.25">
      <c r="A181" t="s">
        <v>418</v>
      </c>
      <c r="B181" t="s">
        <v>419</v>
      </c>
      <c r="C181" t="s">
        <v>438</v>
      </c>
      <c r="D181" t="s">
        <v>384</v>
      </c>
      <c r="E181" s="4">
        <v>-129265542</v>
      </c>
      <c r="F181" s="4">
        <v>-3.85031828E+16</v>
      </c>
      <c r="G181" s="6" t="s">
        <v>885</v>
      </c>
      <c r="H181" s="7" t="s">
        <v>885</v>
      </c>
      <c r="I181" s="7" t="s">
        <v>885</v>
      </c>
      <c r="K181" t="str">
        <f>IF(Tabela1[[#This Row],[Último PV]]&lt;&gt;"","Sim","Nao")</f>
        <v>Nao</v>
      </c>
      <c r="L181" s="9" t="s">
        <v>885</v>
      </c>
    </row>
    <row r="182" spans="1:12" x14ac:dyDescent="0.25">
      <c r="A182" t="s">
        <v>418</v>
      </c>
      <c r="B182" t="s">
        <v>419</v>
      </c>
      <c r="C182" t="s">
        <v>439</v>
      </c>
      <c r="D182" t="s">
        <v>385</v>
      </c>
      <c r="E182" s="4">
        <v>-122596072</v>
      </c>
      <c r="F182" s="4">
        <v>-389645708</v>
      </c>
      <c r="G182" s="6" t="s">
        <v>885</v>
      </c>
      <c r="H182" s="7" t="s">
        <v>885</v>
      </c>
      <c r="I182" s="7" t="s">
        <v>885</v>
      </c>
      <c r="K182" t="str">
        <f>IF(Tabela1[[#This Row],[Último PV]]&lt;&gt;"","Sim","Nao")</f>
        <v>Nao</v>
      </c>
      <c r="L182" s="9" t="s">
        <v>885</v>
      </c>
    </row>
    <row r="183" spans="1:12" x14ac:dyDescent="0.25">
      <c r="A183" t="s">
        <v>418</v>
      </c>
      <c r="B183" t="s">
        <v>419</v>
      </c>
      <c r="C183" t="s">
        <v>440</v>
      </c>
      <c r="D183" t="s">
        <v>386</v>
      </c>
      <c r="E183" s="4">
        <v>-148050771</v>
      </c>
      <c r="F183" s="4">
        <v>-3.9276194E+16</v>
      </c>
      <c r="G183" s="6">
        <v>6218</v>
      </c>
      <c r="H183" s="7">
        <v>45135</v>
      </c>
      <c r="I183" s="7" t="s">
        <v>884</v>
      </c>
      <c r="J183" t="s">
        <v>881</v>
      </c>
      <c r="K183" t="str">
        <f>IF(Tabela1[[#This Row],[Último PV]]&lt;&gt;"","Sim","Nao")</f>
        <v>Sim</v>
      </c>
      <c r="L183" s="9">
        <v>207254.31</v>
      </c>
    </row>
    <row r="184" spans="1:12" x14ac:dyDescent="0.25">
      <c r="A184" t="s">
        <v>418</v>
      </c>
      <c r="B184" t="s">
        <v>419</v>
      </c>
      <c r="C184" t="s">
        <v>441</v>
      </c>
      <c r="D184" t="s">
        <v>387</v>
      </c>
      <c r="E184" s="4">
        <v>-127869945</v>
      </c>
      <c r="F184" s="4">
        <v>-38403245</v>
      </c>
      <c r="G184" s="6" t="s">
        <v>885</v>
      </c>
      <c r="H184" s="7" t="s">
        <v>885</v>
      </c>
      <c r="I184" s="7" t="s">
        <v>885</v>
      </c>
      <c r="K184" t="str">
        <f>IF(Tabela1[[#This Row],[Último PV]]&lt;&gt;"","Sim","Nao")</f>
        <v>Nao</v>
      </c>
      <c r="L184" s="9" t="s">
        <v>885</v>
      </c>
    </row>
    <row r="185" spans="1:12" x14ac:dyDescent="0.25">
      <c r="A185" t="s">
        <v>418</v>
      </c>
      <c r="B185" t="s">
        <v>419</v>
      </c>
      <c r="C185" t="s">
        <v>442</v>
      </c>
      <c r="D185" t="s">
        <v>388</v>
      </c>
      <c r="E185" s="4">
        <v>-124349309</v>
      </c>
      <c r="F185" s="4">
        <v>-3.8950691899999904E+16</v>
      </c>
      <c r="G185" s="6" t="s">
        <v>885</v>
      </c>
      <c r="H185" s="7" t="s">
        <v>885</v>
      </c>
      <c r="I185" s="7" t="s">
        <v>885</v>
      </c>
      <c r="K185" t="str">
        <f>IF(Tabela1[[#This Row],[Último PV]]&lt;&gt;"","Sim","Nao")</f>
        <v>Nao</v>
      </c>
      <c r="L185" s="9" t="s">
        <v>885</v>
      </c>
    </row>
    <row r="186" spans="1:12" x14ac:dyDescent="0.25">
      <c r="A186" t="s">
        <v>418</v>
      </c>
      <c r="B186" t="s">
        <v>419</v>
      </c>
      <c r="C186" t="s">
        <v>443</v>
      </c>
      <c r="D186" t="s">
        <v>389</v>
      </c>
      <c r="E186" s="4">
        <v>-129661711</v>
      </c>
      <c r="F186" s="4">
        <v>-392630724</v>
      </c>
      <c r="G186" s="6" t="s">
        <v>885</v>
      </c>
      <c r="H186" s="7" t="s">
        <v>885</v>
      </c>
      <c r="I186" s="7" t="s">
        <v>885</v>
      </c>
      <c r="K186" t="str">
        <f>IF(Tabela1[[#This Row],[Último PV]]&lt;&gt;"","Sim","Nao")</f>
        <v>Nao</v>
      </c>
      <c r="L186" s="9" t="s">
        <v>885</v>
      </c>
    </row>
    <row r="187" spans="1:12" x14ac:dyDescent="0.25">
      <c r="A187" t="s">
        <v>418</v>
      </c>
      <c r="B187" t="s">
        <v>419</v>
      </c>
      <c r="C187" t="s">
        <v>444</v>
      </c>
      <c r="D187" t="s">
        <v>390</v>
      </c>
      <c r="E187" s="4">
        <v>-122124311</v>
      </c>
      <c r="F187" s="4">
        <v>-389439288</v>
      </c>
      <c r="G187" s="6" t="s">
        <v>885</v>
      </c>
      <c r="H187" s="7" t="s">
        <v>885</v>
      </c>
      <c r="I187" s="7" t="s">
        <v>885</v>
      </c>
      <c r="K187" t="str">
        <f>IF(Tabela1[[#This Row],[Último PV]]&lt;&gt;"","Sim","Nao")</f>
        <v>Nao</v>
      </c>
      <c r="L187" s="9" t="s">
        <v>885</v>
      </c>
    </row>
    <row r="188" spans="1:12" x14ac:dyDescent="0.25">
      <c r="A188" t="s">
        <v>418</v>
      </c>
      <c r="B188" t="s">
        <v>419</v>
      </c>
      <c r="C188" t="s">
        <v>445</v>
      </c>
      <c r="D188" t="s">
        <v>391</v>
      </c>
      <c r="E188" s="4">
        <v>-127869145</v>
      </c>
      <c r="F188" s="4">
        <v>-38403205</v>
      </c>
      <c r="G188" s="6" t="s">
        <v>885</v>
      </c>
      <c r="H188" s="7" t="s">
        <v>885</v>
      </c>
      <c r="I188" s="7" t="s">
        <v>885</v>
      </c>
      <c r="K188" t="str">
        <f>IF(Tabela1[[#This Row],[Último PV]]&lt;&gt;"","Sim","Nao")</f>
        <v>Nao</v>
      </c>
      <c r="L188" s="9" t="s">
        <v>885</v>
      </c>
    </row>
    <row r="189" spans="1:12" x14ac:dyDescent="0.25">
      <c r="A189" t="s">
        <v>418</v>
      </c>
      <c r="B189" t="s">
        <v>419</v>
      </c>
      <c r="C189" t="s">
        <v>446</v>
      </c>
      <c r="D189" t="s">
        <v>392</v>
      </c>
      <c r="E189" s="4">
        <v>-129504126</v>
      </c>
      <c r="F189" s="4">
        <v>-3.83684478E+16</v>
      </c>
      <c r="G189" s="6">
        <v>7294</v>
      </c>
      <c r="H189" s="7">
        <v>45425</v>
      </c>
      <c r="I189" s="7" t="s">
        <v>884</v>
      </c>
      <c r="J189" t="s">
        <v>882</v>
      </c>
      <c r="K189" t="str">
        <f>IF(Tabela1[[#This Row],[Último PV]]&lt;&gt;"","Sim","Nao")</f>
        <v>Sim</v>
      </c>
      <c r="L189" s="9">
        <v>100000</v>
      </c>
    </row>
    <row r="190" spans="1:12" x14ac:dyDescent="0.25">
      <c r="A190" t="s">
        <v>418</v>
      </c>
      <c r="B190" t="s">
        <v>419</v>
      </c>
      <c r="C190" t="s">
        <v>447</v>
      </c>
      <c r="D190" t="s">
        <v>393</v>
      </c>
      <c r="E190" s="4">
        <v>-129818971</v>
      </c>
      <c r="F190" s="4">
        <v>-3.8471467499999904E+16</v>
      </c>
      <c r="G190" s="6">
        <v>9855</v>
      </c>
      <c r="H190" s="7">
        <v>45916</v>
      </c>
      <c r="I190" s="7" t="s">
        <v>884</v>
      </c>
      <c r="J190" t="s">
        <v>879</v>
      </c>
      <c r="K190" t="str">
        <f>IF(Tabela1[[#This Row],[Último PV]]&lt;&gt;"","Sim","Nao")</f>
        <v>Sim</v>
      </c>
      <c r="L190" s="9">
        <v>618.55999999999995</v>
      </c>
    </row>
    <row r="191" spans="1:12" x14ac:dyDescent="0.25">
      <c r="A191" t="s">
        <v>418</v>
      </c>
      <c r="B191" t="s">
        <v>419</v>
      </c>
      <c r="C191" t="s">
        <v>435</v>
      </c>
      <c r="D191" t="s">
        <v>394</v>
      </c>
      <c r="E191" s="4">
        <v>-129434804</v>
      </c>
      <c r="F191" s="4">
        <v>-384967771</v>
      </c>
      <c r="G191" s="6" t="s">
        <v>885</v>
      </c>
      <c r="H191" s="7" t="s">
        <v>885</v>
      </c>
      <c r="I191" s="7" t="s">
        <v>885</v>
      </c>
      <c r="K191" t="str">
        <f>IF(Tabela1[[#This Row],[Último PV]]&lt;&gt;"","Sim","Nao")</f>
        <v>Nao</v>
      </c>
      <c r="L191" s="9" t="s">
        <v>885</v>
      </c>
    </row>
    <row r="192" spans="1:12" x14ac:dyDescent="0.25">
      <c r="A192" t="s">
        <v>418</v>
      </c>
      <c r="B192" t="s">
        <v>419</v>
      </c>
      <c r="C192" t="s">
        <v>448</v>
      </c>
      <c r="D192" t="s">
        <v>395</v>
      </c>
      <c r="E192" s="4">
        <v>-147764779</v>
      </c>
      <c r="F192" s="4">
        <v>-39282722</v>
      </c>
      <c r="G192" s="6" t="s">
        <v>885</v>
      </c>
      <c r="H192" s="7" t="s">
        <v>885</v>
      </c>
      <c r="I192" s="7" t="s">
        <v>885</v>
      </c>
      <c r="K192" t="str">
        <f>IF(Tabela1[[#This Row],[Último PV]]&lt;&gt;"","Sim","Nao")</f>
        <v>Nao</v>
      </c>
      <c r="L192" s="9" t="s">
        <v>885</v>
      </c>
    </row>
    <row r="193" spans="1:12" x14ac:dyDescent="0.25">
      <c r="A193" t="s">
        <v>418</v>
      </c>
      <c r="B193" t="s">
        <v>419</v>
      </c>
      <c r="C193" t="s">
        <v>449</v>
      </c>
      <c r="D193" t="s">
        <v>396</v>
      </c>
      <c r="E193" s="4">
        <v>-1254975</v>
      </c>
      <c r="F193" s="4">
        <v>-385167968</v>
      </c>
      <c r="G193" s="6" t="s">
        <v>885</v>
      </c>
      <c r="H193" s="7" t="s">
        <v>885</v>
      </c>
      <c r="I193" s="7" t="s">
        <v>885</v>
      </c>
      <c r="K193" t="str">
        <f>IF(Tabela1[[#This Row],[Último PV]]&lt;&gt;"","Sim","Nao")</f>
        <v>Nao</v>
      </c>
      <c r="L193" s="9" t="s">
        <v>885</v>
      </c>
    </row>
    <row r="194" spans="1:12" x14ac:dyDescent="0.25">
      <c r="A194" t="s">
        <v>418</v>
      </c>
      <c r="B194" t="s">
        <v>419</v>
      </c>
      <c r="C194" t="s">
        <v>450</v>
      </c>
      <c r="D194" t="s">
        <v>397</v>
      </c>
      <c r="E194" s="4">
        <v>-129817408</v>
      </c>
      <c r="F194" s="4">
        <v>-384657853</v>
      </c>
      <c r="G194" s="6" t="s">
        <v>885</v>
      </c>
      <c r="H194" s="7" t="s">
        <v>885</v>
      </c>
      <c r="I194" s="7" t="s">
        <v>885</v>
      </c>
      <c r="K194" t="str">
        <f>IF(Tabela1[[#This Row],[Último PV]]&lt;&gt;"","Sim","Nao")</f>
        <v>Nao</v>
      </c>
      <c r="L194" s="9" t="s">
        <v>885</v>
      </c>
    </row>
    <row r="195" spans="1:12" x14ac:dyDescent="0.25">
      <c r="A195" t="s">
        <v>418</v>
      </c>
      <c r="B195" t="s">
        <v>419</v>
      </c>
      <c r="C195" t="s">
        <v>451</v>
      </c>
      <c r="D195" t="s">
        <v>398</v>
      </c>
      <c r="E195" s="4">
        <v>-1.28668152999999E+16</v>
      </c>
      <c r="F195" s="4">
        <v>-38476943</v>
      </c>
      <c r="G195" s="6">
        <v>4341</v>
      </c>
      <c r="H195" s="7">
        <v>44480</v>
      </c>
      <c r="I195" s="7" t="s">
        <v>884</v>
      </c>
      <c r="K195" t="str">
        <f>IF(Tabela1[[#This Row],[Último PV]]&lt;&gt;"","Sim","Nao")</f>
        <v>Sim</v>
      </c>
      <c r="L195" s="9">
        <v>0</v>
      </c>
    </row>
    <row r="196" spans="1:12" x14ac:dyDescent="0.25">
      <c r="A196" t="s">
        <v>418</v>
      </c>
      <c r="B196" t="s">
        <v>419</v>
      </c>
      <c r="C196" t="s">
        <v>452</v>
      </c>
      <c r="D196" t="s">
        <v>399</v>
      </c>
      <c r="E196" s="4">
        <v>-129477943</v>
      </c>
      <c r="F196" s="4">
        <v>-3.8500107099999904E+16</v>
      </c>
      <c r="G196" s="6" t="s">
        <v>885</v>
      </c>
      <c r="H196" s="7" t="s">
        <v>885</v>
      </c>
      <c r="I196" s="7" t="s">
        <v>885</v>
      </c>
      <c r="K196" t="str">
        <f>IF(Tabela1[[#This Row],[Último PV]]&lt;&gt;"","Sim","Nao")</f>
        <v>Nao</v>
      </c>
      <c r="L196" s="9" t="s">
        <v>885</v>
      </c>
    </row>
    <row r="197" spans="1:12" x14ac:dyDescent="0.25">
      <c r="A197" t="s">
        <v>418</v>
      </c>
      <c r="B197" t="s">
        <v>419</v>
      </c>
      <c r="C197" t="s">
        <v>453</v>
      </c>
      <c r="D197" t="s">
        <v>400</v>
      </c>
      <c r="E197" s="4">
        <v>-128965719</v>
      </c>
      <c r="F197" s="4">
        <v>-3.83298924E+16</v>
      </c>
      <c r="G197" s="6">
        <v>6843</v>
      </c>
      <c r="H197" s="7">
        <v>45310</v>
      </c>
      <c r="I197" s="7" t="s">
        <v>884</v>
      </c>
      <c r="J197" t="s">
        <v>879</v>
      </c>
      <c r="K197" t="str">
        <f>IF(Tabela1[[#This Row],[Último PV]]&lt;&gt;"","Sim","Nao")</f>
        <v>Sim</v>
      </c>
      <c r="L197" s="9">
        <v>4836.3500000000004</v>
      </c>
    </row>
    <row r="198" spans="1:12" x14ac:dyDescent="0.25">
      <c r="A198" t="s">
        <v>418</v>
      </c>
      <c r="B198" t="s">
        <v>419</v>
      </c>
      <c r="C198" t="s">
        <v>454</v>
      </c>
      <c r="D198" t="s">
        <v>401</v>
      </c>
      <c r="E198" s="4">
        <v>-125266073</v>
      </c>
      <c r="F198" s="4">
        <v>-4.0297559299999904E+16</v>
      </c>
      <c r="G198" s="6" t="s">
        <v>885</v>
      </c>
      <c r="H198" s="7" t="s">
        <v>885</v>
      </c>
      <c r="I198" s="7" t="s">
        <v>885</v>
      </c>
      <c r="K198" t="str">
        <f>IF(Tabela1[[#This Row],[Último PV]]&lt;&gt;"","Sim","Nao")</f>
        <v>Nao</v>
      </c>
      <c r="L198" s="9" t="s">
        <v>885</v>
      </c>
    </row>
    <row r="199" spans="1:12" x14ac:dyDescent="0.25">
      <c r="A199" t="s">
        <v>418</v>
      </c>
      <c r="B199" t="s">
        <v>419</v>
      </c>
      <c r="C199" t="s">
        <v>455</v>
      </c>
      <c r="D199" t="s">
        <v>402</v>
      </c>
      <c r="E199" s="4">
        <v>-128071041</v>
      </c>
      <c r="F199" s="4">
        <v>-384895217</v>
      </c>
      <c r="G199" s="6" t="s">
        <v>885</v>
      </c>
      <c r="H199" s="7" t="s">
        <v>885</v>
      </c>
      <c r="I199" s="7" t="s">
        <v>885</v>
      </c>
      <c r="K199" t="str">
        <f>IF(Tabela1[[#This Row],[Último PV]]&lt;&gt;"","Sim","Nao")</f>
        <v>Nao</v>
      </c>
      <c r="L199" s="9" t="s">
        <v>885</v>
      </c>
    </row>
    <row r="200" spans="1:12" x14ac:dyDescent="0.25">
      <c r="A200" t="s">
        <v>418</v>
      </c>
      <c r="B200" t="s">
        <v>419</v>
      </c>
      <c r="C200" t="s">
        <v>456</v>
      </c>
      <c r="D200" t="s">
        <v>403</v>
      </c>
      <c r="E200" s="4">
        <v>-129541262</v>
      </c>
      <c r="F200" s="4">
        <v>-3.84812375E+16</v>
      </c>
      <c r="G200" s="6">
        <v>6922</v>
      </c>
      <c r="H200" s="7">
        <v>45341</v>
      </c>
      <c r="I200" s="7" t="s">
        <v>884</v>
      </c>
      <c r="J200" t="s">
        <v>882</v>
      </c>
      <c r="K200" t="str">
        <f>IF(Tabela1[[#This Row],[Último PV]]&lt;&gt;"","Sim","Nao")</f>
        <v>Sim</v>
      </c>
      <c r="L200" s="9">
        <v>207000</v>
      </c>
    </row>
    <row r="201" spans="1:12" x14ac:dyDescent="0.25">
      <c r="A201" t="s">
        <v>418</v>
      </c>
      <c r="B201" t="s">
        <v>419</v>
      </c>
      <c r="C201" t="s">
        <v>447</v>
      </c>
      <c r="D201" t="s">
        <v>404</v>
      </c>
      <c r="E201" s="4">
        <v>-129791194</v>
      </c>
      <c r="F201" s="4">
        <v>-384704439</v>
      </c>
      <c r="G201" s="6" t="s">
        <v>885</v>
      </c>
      <c r="H201" s="7" t="s">
        <v>885</v>
      </c>
      <c r="I201" s="7" t="s">
        <v>885</v>
      </c>
      <c r="K201" t="str">
        <f>IF(Tabela1[[#This Row],[Último PV]]&lt;&gt;"","Sim","Nao")</f>
        <v>Nao</v>
      </c>
      <c r="L201" s="9" t="s">
        <v>885</v>
      </c>
    </row>
    <row r="202" spans="1:12" x14ac:dyDescent="0.25">
      <c r="A202" t="s">
        <v>418</v>
      </c>
      <c r="B202" t="s">
        <v>419</v>
      </c>
      <c r="C202" t="s">
        <v>457</v>
      </c>
      <c r="D202" t="s">
        <v>405</v>
      </c>
      <c r="E202" s="4">
        <v>-137440457</v>
      </c>
      <c r="F202" s="4">
        <v>-39484801</v>
      </c>
      <c r="G202" s="6" t="s">
        <v>885</v>
      </c>
      <c r="H202" s="7" t="s">
        <v>885</v>
      </c>
      <c r="I202" s="7" t="s">
        <v>885</v>
      </c>
      <c r="K202" t="str">
        <f>IF(Tabela1[[#This Row],[Último PV]]&lt;&gt;"","Sim","Nao")</f>
        <v>Nao</v>
      </c>
      <c r="L202" s="9" t="s">
        <v>885</v>
      </c>
    </row>
    <row r="203" spans="1:12" x14ac:dyDescent="0.25">
      <c r="A203" t="s">
        <v>418</v>
      </c>
      <c r="B203" t="s">
        <v>419</v>
      </c>
      <c r="C203" t="s">
        <v>458</v>
      </c>
      <c r="D203" t="s">
        <v>406</v>
      </c>
      <c r="E203" s="4">
        <v>-1.63030865999999E+16</v>
      </c>
      <c r="F203" s="4">
        <v>-390252403</v>
      </c>
      <c r="G203" s="6" t="s">
        <v>885</v>
      </c>
      <c r="H203" s="7" t="s">
        <v>885</v>
      </c>
      <c r="I203" s="7" t="s">
        <v>885</v>
      </c>
      <c r="K203" t="str">
        <f>IF(Tabela1[[#This Row],[Último PV]]&lt;&gt;"","Sim","Nao")</f>
        <v>Nao</v>
      </c>
      <c r="L203" s="9" t="s">
        <v>885</v>
      </c>
    </row>
    <row r="204" spans="1:12" x14ac:dyDescent="0.25">
      <c r="A204" t="s">
        <v>418</v>
      </c>
      <c r="B204" t="s">
        <v>419</v>
      </c>
      <c r="C204" t="s">
        <v>459</v>
      </c>
      <c r="D204" t="s">
        <v>407</v>
      </c>
      <c r="E204" s="4">
        <v>-129365848</v>
      </c>
      <c r="F204" s="4">
        <v>-3.8437813799999904E+16</v>
      </c>
      <c r="G204" s="6">
        <v>7849</v>
      </c>
      <c r="H204" s="7">
        <v>45534</v>
      </c>
      <c r="I204" s="7" t="s">
        <v>884</v>
      </c>
      <c r="J204" t="s">
        <v>879</v>
      </c>
      <c r="K204" t="str">
        <f>IF(Tabela1[[#This Row],[Último PV]]&lt;&gt;"","Sim","Nao")</f>
        <v>Sim</v>
      </c>
      <c r="L204" s="9">
        <v>1719.15</v>
      </c>
    </row>
    <row r="205" spans="1:12" x14ac:dyDescent="0.25">
      <c r="A205" t="s">
        <v>418</v>
      </c>
      <c r="B205" t="s">
        <v>419</v>
      </c>
      <c r="C205" t="s">
        <v>460</v>
      </c>
      <c r="D205" t="s">
        <v>408</v>
      </c>
      <c r="E205" s="4">
        <v>-126191464</v>
      </c>
      <c r="F205" s="4">
        <v>-382928948</v>
      </c>
      <c r="G205" s="6" t="s">
        <v>885</v>
      </c>
      <c r="H205" s="7" t="s">
        <v>885</v>
      </c>
      <c r="I205" s="7" t="s">
        <v>885</v>
      </c>
      <c r="K205" t="str">
        <f>IF(Tabela1[[#This Row],[Último PV]]&lt;&gt;"","Sim","Nao")</f>
        <v>Nao</v>
      </c>
      <c r="L205" s="9" t="s">
        <v>885</v>
      </c>
    </row>
    <row r="206" spans="1:12" x14ac:dyDescent="0.25">
      <c r="A206" t="s">
        <v>418</v>
      </c>
      <c r="B206" t="s">
        <v>419</v>
      </c>
      <c r="C206" t="s">
        <v>461</v>
      </c>
      <c r="D206" t="s">
        <v>409</v>
      </c>
      <c r="E206" s="4">
        <v>-124307863</v>
      </c>
      <c r="F206" s="4">
        <v>-3.83281273E+16</v>
      </c>
      <c r="G206" s="6" t="s">
        <v>885</v>
      </c>
      <c r="H206" s="7" t="s">
        <v>885</v>
      </c>
      <c r="I206" s="7" t="s">
        <v>885</v>
      </c>
      <c r="K206" t="str">
        <f>IF(Tabela1[[#This Row],[Último PV]]&lt;&gt;"","Sim","Nao")</f>
        <v>Nao</v>
      </c>
      <c r="L206" s="9" t="s">
        <v>885</v>
      </c>
    </row>
    <row r="207" spans="1:12" x14ac:dyDescent="0.25">
      <c r="A207" t="s">
        <v>418</v>
      </c>
      <c r="B207" t="s">
        <v>419</v>
      </c>
      <c r="C207" t="s">
        <v>462</v>
      </c>
      <c r="D207" t="s">
        <v>410</v>
      </c>
      <c r="E207" s="4">
        <v>-1.29508073E+16</v>
      </c>
      <c r="F207" s="4">
        <v>-3.8477539699999904E+16</v>
      </c>
      <c r="G207" s="6">
        <v>5700</v>
      </c>
      <c r="H207" s="7">
        <v>44973</v>
      </c>
      <c r="I207" s="7" t="s">
        <v>884</v>
      </c>
      <c r="J207" t="s">
        <v>879</v>
      </c>
      <c r="K207" t="str">
        <f>IF(Tabela1[[#This Row],[Último PV]]&lt;&gt;"","Sim","Nao")</f>
        <v>Sim</v>
      </c>
      <c r="L207" s="9">
        <v>5374.85</v>
      </c>
    </row>
    <row r="208" spans="1:12" x14ac:dyDescent="0.25">
      <c r="A208" t="s">
        <v>418</v>
      </c>
      <c r="B208" t="s">
        <v>419</v>
      </c>
      <c r="C208" t="s">
        <v>463</v>
      </c>
      <c r="D208" t="s">
        <v>411</v>
      </c>
      <c r="E208" s="4">
        <v>-129384479</v>
      </c>
      <c r="F208" s="4">
        <v>-384068819</v>
      </c>
      <c r="G208" s="6">
        <v>4560</v>
      </c>
      <c r="H208" s="7">
        <v>44546</v>
      </c>
      <c r="I208" s="7" t="s">
        <v>884</v>
      </c>
      <c r="K208" t="str">
        <f>IF(Tabela1[[#This Row],[Último PV]]&lt;&gt;"","Sim","Nao")</f>
        <v>Sim</v>
      </c>
      <c r="L208" s="9">
        <v>0</v>
      </c>
    </row>
    <row r="209" spans="1:12" x14ac:dyDescent="0.25">
      <c r="A209" t="s">
        <v>418</v>
      </c>
      <c r="B209" t="s">
        <v>419</v>
      </c>
      <c r="C209" t="s">
        <v>464</v>
      </c>
      <c r="D209" t="s">
        <v>412</v>
      </c>
      <c r="E209" s="4">
        <v>-1.64374161999999E+16</v>
      </c>
      <c r="F209" s="4">
        <v>-3.9068958499999904E+16</v>
      </c>
      <c r="G209" s="6" t="s">
        <v>885</v>
      </c>
      <c r="H209" s="7" t="s">
        <v>885</v>
      </c>
      <c r="I209" s="7" t="s">
        <v>885</v>
      </c>
      <c r="K209" t="str">
        <f>IF(Tabela1[[#This Row],[Último PV]]&lt;&gt;"","Sim","Nao")</f>
        <v>Nao</v>
      </c>
      <c r="L209" s="9" t="s">
        <v>885</v>
      </c>
    </row>
    <row r="210" spans="1:12" x14ac:dyDescent="0.25">
      <c r="A210" t="s">
        <v>418</v>
      </c>
      <c r="B210" t="s">
        <v>419</v>
      </c>
      <c r="C210" t="s">
        <v>445</v>
      </c>
      <c r="D210" t="s">
        <v>413</v>
      </c>
      <c r="E210" s="4">
        <v>-1.27869745E+16</v>
      </c>
      <c r="F210" s="4">
        <v>-38403205</v>
      </c>
      <c r="G210" s="6" t="s">
        <v>885</v>
      </c>
      <c r="H210" s="7" t="s">
        <v>885</v>
      </c>
      <c r="I210" s="7" t="s">
        <v>885</v>
      </c>
      <c r="K210" t="str">
        <f>IF(Tabela1[[#This Row],[Último PV]]&lt;&gt;"","Sim","Nao")</f>
        <v>Nao</v>
      </c>
      <c r="L210" s="9" t="s">
        <v>885</v>
      </c>
    </row>
    <row r="211" spans="1:12" x14ac:dyDescent="0.25">
      <c r="A211" t="s">
        <v>418</v>
      </c>
      <c r="B211" t="s">
        <v>419</v>
      </c>
      <c r="C211" t="s">
        <v>465</v>
      </c>
      <c r="D211" t="s">
        <v>414</v>
      </c>
      <c r="E211" s="4">
        <v>-129233909</v>
      </c>
      <c r="F211" s="4">
        <v>-3.84831777E+16</v>
      </c>
      <c r="G211" s="6" t="s">
        <v>885</v>
      </c>
      <c r="H211" s="7" t="s">
        <v>885</v>
      </c>
      <c r="I211" s="7" t="s">
        <v>885</v>
      </c>
      <c r="K211" t="str">
        <f>IF(Tabela1[[#This Row],[Último PV]]&lt;&gt;"","Sim","Nao")</f>
        <v>Nao</v>
      </c>
      <c r="L211" s="9" t="s">
        <v>885</v>
      </c>
    </row>
    <row r="212" spans="1:12" x14ac:dyDescent="0.25">
      <c r="A212" t="s">
        <v>418</v>
      </c>
      <c r="B212" t="s">
        <v>419</v>
      </c>
      <c r="C212" t="s">
        <v>466</v>
      </c>
      <c r="D212" t="s">
        <v>415</v>
      </c>
      <c r="E212" s="4">
        <v>-129203479</v>
      </c>
      <c r="F212" s="4">
        <v>-3.8353206199999904E+16</v>
      </c>
      <c r="G212" s="6">
        <v>5425</v>
      </c>
      <c r="H212" s="7">
        <v>44868</v>
      </c>
      <c r="I212" s="7" t="s">
        <v>884</v>
      </c>
      <c r="K212" t="str">
        <f>IF(Tabela1[[#This Row],[Último PV]]&lt;&gt;"","Sim","Nao")</f>
        <v>Sim</v>
      </c>
      <c r="L212" s="9">
        <v>5754.14</v>
      </c>
    </row>
    <row r="213" spans="1:12" x14ac:dyDescent="0.25">
      <c r="A213" t="s">
        <v>468</v>
      </c>
      <c r="B213" t="s">
        <v>469</v>
      </c>
      <c r="C213" t="s">
        <v>470</v>
      </c>
      <c r="D213" t="s">
        <v>755</v>
      </c>
      <c r="E213" s="4"/>
      <c r="F213" s="4"/>
      <c r="G213" s="6" t="s">
        <v>885</v>
      </c>
      <c r="H213" s="7" t="s">
        <v>885</v>
      </c>
      <c r="I213" s="7" t="s">
        <v>885</v>
      </c>
      <c r="K213" t="str">
        <f>IF(Tabela1[[#This Row],[Último PV]]&lt;&gt;"","Sim","Nao")</f>
        <v>Nao</v>
      </c>
      <c r="L213" s="9" t="s">
        <v>885</v>
      </c>
    </row>
    <row r="214" spans="1:12" x14ac:dyDescent="0.25">
      <c r="A214" t="s">
        <v>468</v>
      </c>
      <c r="B214" t="s">
        <v>471</v>
      </c>
      <c r="C214" t="s">
        <v>472</v>
      </c>
      <c r="D214" t="s">
        <v>752</v>
      </c>
      <c r="E214" s="4"/>
      <c r="F214" s="4"/>
      <c r="G214" s="6" t="s">
        <v>885</v>
      </c>
      <c r="H214" s="7" t="s">
        <v>885</v>
      </c>
      <c r="I214" s="7" t="s">
        <v>885</v>
      </c>
      <c r="K214" t="str">
        <f>IF(Tabela1[[#This Row],[Último PV]]&lt;&gt;"","Sim","Nao")</f>
        <v>Nao</v>
      </c>
      <c r="L214" s="9" t="s">
        <v>885</v>
      </c>
    </row>
    <row r="215" spans="1:12" x14ac:dyDescent="0.25">
      <c r="A215" t="s">
        <v>468</v>
      </c>
      <c r="B215" t="s">
        <v>473</v>
      </c>
      <c r="C215" t="s">
        <v>749</v>
      </c>
      <c r="D215" t="s">
        <v>756</v>
      </c>
      <c r="E215" s="4"/>
      <c r="F215" s="4"/>
      <c r="G215" s="6" t="s">
        <v>885</v>
      </c>
      <c r="H215" s="7" t="s">
        <v>885</v>
      </c>
      <c r="I215" s="7" t="s">
        <v>885</v>
      </c>
      <c r="K215" t="str">
        <f>IF(Tabela1[[#This Row],[Último PV]]&lt;&gt;"","Sim","Nao")</f>
        <v>Nao</v>
      </c>
      <c r="L215" s="9" t="s">
        <v>885</v>
      </c>
    </row>
    <row r="216" spans="1:12" x14ac:dyDescent="0.25">
      <c r="A216" t="s">
        <v>468</v>
      </c>
      <c r="B216" t="s">
        <v>475</v>
      </c>
      <c r="C216" t="s">
        <v>474</v>
      </c>
      <c r="D216" t="s">
        <v>753</v>
      </c>
      <c r="E216" s="4"/>
      <c r="F216" s="4"/>
      <c r="G216" s="6" t="s">
        <v>885</v>
      </c>
      <c r="H216" s="7" t="s">
        <v>885</v>
      </c>
      <c r="I216" s="7" t="s">
        <v>885</v>
      </c>
      <c r="K216" t="str">
        <f>IF(Tabela1[[#This Row],[Último PV]]&lt;&gt;"","Sim","Nao")</f>
        <v>Nao</v>
      </c>
      <c r="L216" s="9" t="s">
        <v>885</v>
      </c>
    </row>
    <row r="217" spans="1:12" x14ac:dyDescent="0.25">
      <c r="A217" t="s">
        <v>468</v>
      </c>
      <c r="B217" t="s">
        <v>476</v>
      </c>
      <c r="C217" t="s">
        <v>754</v>
      </c>
      <c r="D217" t="s">
        <v>748</v>
      </c>
      <c r="E217" s="4"/>
      <c r="F217" s="4"/>
      <c r="G217" s="6" t="s">
        <v>885</v>
      </c>
      <c r="H217" s="7" t="s">
        <v>885</v>
      </c>
      <c r="I217" s="7" t="s">
        <v>885</v>
      </c>
      <c r="K217" t="str">
        <f>IF(Tabela1[[#This Row],[Último PV]]&lt;&gt;"","Sim","Nao")</f>
        <v>Nao</v>
      </c>
      <c r="L217" s="9" t="s">
        <v>885</v>
      </c>
    </row>
    <row r="218" spans="1:12" x14ac:dyDescent="0.25">
      <c r="A218" t="s">
        <v>468</v>
      </c>
      <c r="B218" t="s">
        <v>477</v>
      </c>
      <c r="C218" t="s">
        <v>478</v>
      </c>
      <c r="D218" t="s">
        <v>747</v>
      </c>
      <c r="E218" s="4"/>
      <c r="F218" s="4"/>
      <c r="G218" s="6" t="s">
        <v>885</v>
      </c>
      <c r="H218" s="7" t="s">
        <v>885</v>
      </c>
      <c r="I218" s="7" t="s">
        <v>885</v>
      </c>
      <c r="K218" t="str">
        <f>IF(Tabela1[[#This Row],[Último PV]]&lt;&gt;"","Sim","Nao")</f>
        <v>Nao</v>
      </c>
      <c r="L218" s="9" t="s">
        <v>885</v>
      </c>
    </row>
    <row r="219" spans="1:12" x14ac:dyDescent="0.25">
      <c r="A219" t="s">
        <v>468</v>
      </c>
      <c r="B219" t="s">
        <v>479</v>
      </c>
      <c r="C219" t="s">
        <v>480</v>
      </c>
      <c r="D219" t="s">
        <v>750</v>
      </c>
      <c r="E219" s="4"/>
      <c r="F219" s="4"/>
      <c r="G219" s="6" t="s">
        <v>885</v>
      </c>
      <c r="H219" s="7" t="s">
        <v>885</v>
      </c>
      <c r="I219" s="7" t="s">
        <v>885</v>
      </c>
      <c r="K219" t="str">
        <f>IF(Tabela1[[#This Row],[Último PV]]&lt;&gt;"","Sim","Nao")</f>
        <v>Nao</v>
      </c>
      <c r="L219" s="9" t="s">
        <v>885</v>
      </c>
    </row>
    <row r="220" spans="1:12" x14ac:dyDescent="0.25">
      <c r="A220" t="s">
        <v>468</v>
      </c>
      <c r="B220" t="s">
        <v>481</v>
      </c>
      <c r="C220" t="s">
        <v>482</v>
      </c>
      <c r="D220" t="s">
        <v>751</v>
      </c>
      <c r="E220" s="4"/>
      <c r="F220" s="4"/>
      <c r="G220" s="6">
        <v>9256</v>
      </c>
      <c r="H220" s="7">
        <v>45806</v>
      </c>
      <c r="I220" s="7" t="s">
        <v>884</v>
      </c>
      <c r="J220" t="s">
        <v>883</v>
      </c>
      <c r="K220" t="str">
        <f>IF(Tabela1[[#This Row],[Último PV]]&lt;&gt;"","Sim","Nao")</f>
        <v>Sim</v>
      </c>
      <c r="L220" s="9">
        <v>79546.81</v>
      </c>
    </row>
    <row r="221" spans="1:12" x14ac:dyDescent="0.25">
      <c r="A221" t="s">
        <v>468</v>
      </c>
      <c r="B221" t="s">
        <v>483</v>
      </c>
      <c r="C221" t="s">
        <v>484</v>
      </c>
      <c r="D221" t="s">
        <v>757</v>
      </c>
      <c r="E221" s="4"/>
      <c r="F221" s="4"/>
      <c r="G221" s="6" t="s">
        <v>885</v>
      </c>
      <c r="H221" s="7" t="s">
        <v>885</v>
      </c>
      <c r="I221" s="7" t="s">
        <v>885</v>
      </c>
      <c r="K221" t="str">
        <f>IF(Tabela1[[#This Row],[Último PV]]&lt;&gt;"","Sim","Nao")</f>
        <v>Nao</v>
      </c>
      <c r="L221" s="9" t="s">
        <v>885</v>
      </c>
    </row>
    <row r="222" spans="1:12" x14ac:dyDescent="0.25">
      <c r="A222" t="s">
        <v>468</v>
      </c>
      <c r="B222" t="s">
        <v>485</v>
      </c>
      <c r="C222" t="s">
        <v>486</v>
      </c>
      <c r="D222" t="s">
        <v>758</v>
      </c>
      <c r="E222" s="4"/>
      <c r="F222" s="4"/>
      <c r="G222" s="6" t="s">
        <v>885</v>
      </c>
      <c r="H222" s="7" t="s">
        <v>885</v>
      </c>
      <c r="I222" s="7" t="s">
        <v>885</v>
      </c>
      <c r="K222" t="str">
        <f>IF(Tabela1[[#This Row],[Último PV]]&lt;&gt;"","Sim","Nao")</f>
        <v>Nao</v>
      </c>
      <c r="L222" s="9" t="s">
        <v>885</v>
      </c>
    </row>
    <row r="223" spans="1:12" x14ac:dyDescent="0.25">
      <c r="A223" t="s">
        <v>468</v>
      </c>
      <c r="B223" t="s">
        <v>487</v>
      </c>
      <c r="C223" t="s">
        <v>488</v>
      </c>
      <c r="D223" t="s">
        <v>761</v>
      </c>
      <c r="E223" s="4"/>
      <c r="F223" s="4"/>
      <c r="G223" s="6">
        <v>8882</v>
      </c>
      <c r="H223" s="7">
        <v>45744</v>
      </c>
      <c r="I223" s="7" t="s">
        <v>884</v>
      </c>
      <c r="J223" t="s">
        <v>883</v>
      </c>
      <c r="K223" t="str">
        <f>IF(Tabela1[[#This Row],[Último PV]]&lt;&gt;"","Sim","Nao")</f>
        <v>Sim</v>
      </c>
      <c r="L223" s="9">
        <v>114099.03</v>
      </c>
    </row>
    <row r="224" spans="1:12" x14ac:dyDescent="0.25">
      <c r="A224" t="s">
        <v>468</v>
      </c>
      <c r="B224" t="s">
        <v>489</v>
      </c>
      <c r="C224" t="s">
        <v>490</v>
      </c>
      <c r="D224" t="s">
        <v>767</v>
      </c>
      <c r="E224" s="4"/>
      <c r="F224" s="4"/>
      <c r="G224" s="6" t="s">
        <v>885</v>
      </c>
      <c r="H224" s="7" t="s">
        <v>885</v>
      </c>
      <c r="I224" s="7" t="s">
        <v>885</v>
      </c>
      <c r="K224" t="str">
        <f>IF(Tabela1[[#This Row],[Último PV]]&lt;&gt;"","Sim","Nao")</f>
        <v>Nao</v>
      </c>
      <c r="L224" s="9" t="s">
        <v>885</v>
      </c>
    </row>
    <row r="225" spans="1:12" x14ac:dyDescent="0.25">
      <c r="A225" t="s">
        <v>468</v>
      </c>
      <c r="B225" t="s">
        <v>491</v>
      </c>
      <c r="C225" s="5" t="s">
        <v>492</v>
      </c>
      <c r="D225" t="s">
        <v>778</v>
      </c>
      <c r="E225" s="4"/>
      <c r="F225" s="4"/>
      <c r="G225" s="6" t="s">
        <v>885</v>
      </c>
      <c r="H225" s="7" t="s">
        <v>885</v>
      </c>
      <c r="I225" s="7" t="s">
        <v>885</v>
      </c>
      <c r="K225" t="str">
        <f>IF(Tabela1[[#This Row],[Último PV]]&lt;&gt;"","Sim","Nao")</f>
        <v>Nao</v>
      </c>
      <c r="L225" s="9" t="s">
        <v>885</v>
      </c>
    </row>
    <row r="226" spans="1:12" x14ac:dyDescent="0.25">
      <c r="A226" t="s">
        <v>468</v>
      </c>
      <c r="B226" t="s">
        <v>494</v>
      </c>
      <c r="C226" t="s">
        <v>493</v>
      </c>
      <c r="D226" t="s">
        <v>766</v>
      </c>
      <c r="E226" s="4"/>
      <c r="F226" s="4"/>
      <c r="G226" s="6" t="s">
        <v>885</v>
      </c>
      <c r="H226" s="7" t="s">
        <v>885</v>
      </c>
      <c r="I226" s="7" t="s">
        <v>885</v>
      </c>
      <c r="K226" t="str">
        <f>IF(Tabela1[[#This Row],[Último PV]]&lt;&gt;"","Sim","Nao")</f>
        <v>Nao</v>
      </c>
      <c r="L226" s="9" t="s">
        <v>885</v>
      </c>
    </row>
    <row r="227" spans="1:12" x14ac:dyDescent="0.25">
      <c r="A227" t="s">
        <v>468</v>
      </c>
      <c r="B227" t="s">
        <v>496</v>
      </c>
      <c r="C227" t="s">
        <v>495</v>
      </c>
      <c r="D227" t="s">
        <v>759</v>
      </c>
      <c r="E227" s="4"/>
      <c r="F227" s="4"/>
      <c r="G227" s="6" t="s">
        <v>885</v>
      </c>
      <c r="H227" s="7" t="s">
        <v>885</v>
      </c>
      <c r="I227" s="7" t="s">
        <v>885</v>
      </c>
      <c r="K227" t="str">
        <f>IF(Tabela1[[#This Row],[Último PV]]&lt;&gt;"","Sim","Nao")</f>
        <v>Nao</v>
      </c>
      <c r="L227" s="9" t="s">
        <v>885</v>
      </c>
    </row>
    <row r="228" spans="1:12" x14ac:dyDescent="0.25">
      <c r="A228" t="s">
        <v>468</v>
      </c>
      <c r="B228" t="s">
        <v>498</v>
      </c>
      <c r="C228" t="s">
        <v>497</v>
      </c>
      <c r="D228" t="s">
        <v>779</v>
      </c>
      <c r="E228" s="4"/>
      <c r="F228" s="4"/>
      <c r="G228" s="6" t="s">
        <v>885</v>
      </c>
      <c r="H228" s="7" t="s">
        <v>885</v>
      </c>
      <c r="I228" s="7" t="s">
        <v>885</v>
      </c>
      <c r="K228" t="str">
        <f>IF(Tabela1[[#This Row],[Último PV]]&lt;&gt;"","Sim","Nao")</f>
        <v>Nao</v>
      </c>
      <c r="L228" s="9" t="s">
        <v>885</v>
      </c>
    </row>
    <row r="229" spans="1:12" x14ac:dyDescent="0.25">
      <c r="A229" t="s">
        <v>468</v>
      </c>
      <c r="B229" t="s">
        <v>499</v>
      </c>
      <c r="C229" t="s">
        <v>502</v>
      </c>
      <c r="D229" t="s">
        <v>780</v>
      </c>
      <c r="E229" s="4"/>
      <c r="F229" s="4"/>
      <c r="G229" s="6" t="s">
        <v>885</v>
      </c>
      <c r="H229" s="7" t="s">
        <v>885</v>
      </c>
      <c r="I229" s="7" t="s">
        <v>885</v>
      </c>
      <c r="K229" t="str">
        <f>IF(Tabela1[[#This Row],[Último PV]]&lt;&gt;"","Sim","Nao")</f>
        <v>Nao</v>
      </c>
      <c r="L229" s="9" t="s">
        <v>885</v>
      </c>
    </row>
    <row r="230" spans="1:12" x14ac:dyDescent="0.25">
      <c r="A230" t="s">
        <v>468</v>
      </c>
      <c r="B230" t="s">
        <v>501</v>
      </c>
      <c r="C230" t="s">
        <v>503</v>
      </c>
      <c r="D230" t="s">
        <v>781</v>
      </c>
      <c r="E230" s="4"/>
      <c r="F230" s="4"/>
      <c r="G230" s="6">
        <v>5784</v>
      </c>
      <c r="H230" s="7">
        <v>45002</v>
      </c>
      <c r="I230" s="7" t="s">
        <v>884</v>
      </c>
      <c r="J230" t="s">
        <v>879</v>
      </c>
      <c r="K230" t="str">
        <f>IF(Tabela1[[#This Row],[Último PV]]&lt;&gt;"","Sim","Nao")</f>
        <v>Sim</v>
      </c>
      <c r="L230" s="9">
        <v>0</v>
      </c>
    </row>
    <row r="231" spans="1:12" x14ac:dyDescent="0.25">
      <c r="A231" t="s">
        <v>468</v>
      </c>
      <c r="B231" t="s">
        <v>500</v>
      </c>
      <c r="C231" t="s">
        <v>504</v>
      </c>
      <c r="D231" t="s">
        <v>760</v>
      </c>
      <c r="E231" s="4"/>
      <c r="F231" s="4"/>
      <c r="G231" s="6" t="s">
        <v>885</v>
      </c>
      <c r="H231" s="7" t="s">
        <v>885</v>
      </c>
      <c r="I231" s="7" t="s">
        <v>885</v>
      </c>
      <c r="K231" t="str">
        <f>IF(Tabela1[[#This Row],[Último PV]]&lt;&gt;"","Sim","Nao")</f>
        <v>Nao</v>
      </c>
      <c r="L231" s="9" t="s">
        <v>885</v>
      </c>
    </row>
    <row r="232" spans="1:12" x14ac:dyDescent="0.25">
      <c r="A232" t="s">
        <v>468</v>
      </c>
      <c r="B232" t="s">
        <v>505</v>
      </c>
      <c r="C232" t="s">
        <v>506</v>
      </c>
      <c r="D232" t="s">
        <v>782</v>
      </c>
      <c r="E232" s="4"/>
      <c r="F232" s="4"/>
      <c r="G232" s="6">
        <v>9012</v>
      </c>
      <c r="H232" s="7">
        <v>45769</v>
      </c>
      <c r="I232" s="7" t="s">
        <v>884</v>
      </c>
      <c r="J232" t="s">
        <v>883</v>
      </c>
      <c r="K232" t="str">
        <f>IF(Tabela1[[#This Row],[Último PV]]&lt;&gt;"","Sim","Nao")</f>
        <v>Sim</v>
      </c>
      <c r="L232" s="9">
        <v>90610.99</v>
      </c>
    </row>
    <row r="233" spans="1:12" x14ac:dyDescent="0.25">
      <c r="A233" t="s">
        <v>468</v>
      </c>
      <c r="B233" t="s">
        <v>507</v>
      </c>
      <c r="C233" t="s">
        <v>508</v>
      </c>
      <c r="D233" t="s">
        <v>783</v>
      </c>
      <c r="E233" s="4"/>
      <c r="F233" s="4"/>
      <c r="G233" s="6">
        <v>9255</v>
      </c>
      <c r="H233" s="7">
        <v>45806</v>
      </c>
      <c r="I233" s="7" t="s">
        <v>884</v>
      </c>
      <c r="J233" t="s">
        <v>883</v>
      </c>
      <c r="K233" t="str">
        <f>IF(Tabela1[[#This Row],[Último PV]]&lt;&gt;"","Sim","Nao")</f>
        <v>Sim</v>
      </c>
      <c r="L233" s="9">
        <v>57980.59</v>
      </c>
    </row>
    <row r="234" spans="1:12" x14ac:dyDescent="0.25">
      <c r="A234" t="s">
        <v>468</v>
      </c>
      <c r="B234" t="s">
        <v>509</v>
      </c>
      <c r="C234" t="s">
        <v>510</v>
      </c>
      <c r="D234" t="s">
        <v>784</v>
      </c>
      <c r="E234" s="4"/>
      <c r="F234" s="4"/>
      <c r="G234" s="6" t="s">
        <v>885</v>
      </c>
      <c r="H234" s="7" t="s">
        <v>885</v>
      </c>
      <c r="I234" s="7" t="s">
        <v>885</v>
      </c>
      <c r="K234" t="str">
        <f>IF(Tabela1[[#This Row],[Último PV]]&lt;&gt;"","Sim","Nao")</f>
        <v>Nao</v>
      </c>
      <c r="L234" s="9" t="s">
        <v>885</v>
      </c>
    </row>
    <row r="235" spans="1:12" x14ac:dyDescent="0.25">
      <c r="A235" t="s">
        <v>468</v>
      </c>
      <c r="B235" t="s">
        <v>511</v>
      </c>
      <c r="C235" t="s">
        <v>512</v>
      </c>
      <c r="D235" t="s">
        <v>785</v>
      </c>
      <c r="E235" s="4"/>
      <c r="F235" s="4"/>
      <c r="G235" s="6" t="s">
        <v>885</v>
      </c>
      <c r="H235" s="7" t="s">
        <v>885</v>
      </c>
      <c r="I235" s="7" t="s">
        <v>885</v>
      </c>
      <c r="K235" t="str">
        <f>IF(Tabela1[[#This Row],[Último PV]]&lt;&gt;"","Sim","Nao")</f>
        <v>Nao</v>
      </c>
      <c r="L235" s="9" t="s">
        <v>885</v>
      </c>
    </row>
    <row r="236" spans="1:12" x14ac:dyDescent="0.25">
      <c r="A236" t="s">
        <v>468</v>
      </c>
      <c r="B236" t="s">
        <v>513</v>
      </c>
      <c r="C236" t="s">
        <v>514</v>
      </c>
      <c r="D236" t="s">
        <v>794</v>
      </c>
      <c r="E236" s="4"/>
      <c r="F236" s="4"/>
      <c r="G236" s="6">
        <v>9837</v>
      </c>
      <c r="H236" s="7">
        <v>45910</v>
      </c>
      <c r="I236" s="7" t="s">
        <v>884</v>
      </c>
      <c r="J236" t="s">
        <v>880</v>
      </c>
      <c r="K236" t="str">
        <f>IF(Tabela1[[#This Row],[Último PV]]&lt;&gt;"","Sim","Nao")</f>
        <v>Sim</v>
      </c>
      <c r="L236" s="9">
        <v>4937.1499999999996</v>
      </c>
    </row>
    <row r="237" spans="1:12" x14ac:dyDescent="0.25">
      <c r="A237" t="s">
        <v>468</v>
      </c>
      <c r="B237" t="s">
        <v>515</v>
      </c>
      <c r="C237" t="s">
        <v>516</v>
      </c>
      <c r="D237" t="s">
        <v>791</v>
      </c>
      <c r="E237" s="4"/>
      <c r="F237" s="4"/>
      <c r="G237" s="6" t="s">
        <v>885</v>
      </c>
      <c r="H237" s="7" t="s">
        <v>885</v>
      </c>
      <c r="I237" s="7" t="s">
        <v>885</v>
      </c>
      <c r="K237" t="str">
        <f>IF(Tabela1[[#This Row],[Último PV]]&lt;&gt;"","Sim","Nao")</f>
        <v>Nao</v>
      </c>
      <c r="L237" s="9" t="s">
        <v>885</v>
      </c>
    </row>
    <row r="238" spans="1:12" x14ac:dyDescent="0.25">
      <c r="A238" t="s">
        <v>468</v>
      </c>
      <c r="B238" t="s">
        <v>517</v>
      </c>
      <c r="C238" s="5" t="s">
        <v>518</v>
      </c>
      <c r="D238" t="s">
        <v>789</v>
      </c>
      <c r="E238" s="4"/>
      <c r="F238" s="4"/>
      <c r="G238" s="6" t="s">
        <v>885</v>
      </c>
      <c r="H238" s="7" t="s">
        <v>885</v>
      </c>
      <c r="I238" s="7" t="s">
        <v>885</v>
      </c>
      <c r="K238" t="str">
        <f>IF(Tabela1[[#This Row],[Último PV]]&lt;&gt;"","Sim","Nao")</f>
        <v>Nao</v>
      </c>
      <c r="L238" s="9" t="s">
        <v>885</v>
      </c>
    </row>
    <row r="239" spans="1:12" x14ac:dyDescent="0.25">
      <c r="A239" t="s">
        <v>468</v>
      </c>
      <c r="B239" t="s">
        <v>519</v>
      </c>
      <c r="C239" t="s">
        <v>520</v>
      </c>
      <c r="D239" t="s">
        <v>792</v>
      </c>
      <c r="E239" s="4"/>
      <c r="F239" s="4"/>
      <c r="G239" s="6" t="s">
        <v>885</v>
      </c>
      <c r="H239" s="7" t="s">
        <v>885</v>
      </c>
      <c r="I239" s="7" t="s">
        <v>885</v>
      </c>
      <c r="K239" t="str">
        <f>IF(Tabela1[[#This Row],[Último PV]]&lt;&gt;"","Sim","Nao")</f>
        <v>Nao</v>
      </c>
      <c r="L239" s="9" t="s">
        <v>885</v>
      </c>
    </row>
    <row r="240" spans="1:12" x14ac:dyDescent="0.25">
      <c r="A240" t="s">
        <v>468</v>
      </c>
      <c r="B240" t="s">
        <v>521</v>
      </c>
      <c r="C240" t="s">
        <v>522</v>
      </c>
      <c r="D240" t="s">
        <v>790</v>
      </c>
      <c r="E240" s="4"/>
      <c r="F240" s="4"/>
      <c r="G240" s="6" t="s">
        <v>885</v>
      </c>
      <c r="H240" s="7" t="s">
        <v>885</v>
      </c>
      <c r="I240" s="7" t="s">
        <v>885</v>
      </c>
      <c r="K240" t="str">
        <f>IF(Tabela1[[#This Row],[Último PV]]&lt;&gt;"","Sim","Nao")</f>
        <v>Nao</v>
      </c>
      <c r="L240" s="9" t="s">
        <v>885</v>
      </c>
    </row>
    <row r="241" spans="1:12" x14ac:dyDescent="0.25">
      <c r="A241" t="s">
        <v>468</v>
      </c>
      <c r="B241" t="s">
        <v>523</v>
      </c>
      <c r="C241" t="s">
        <v>524</v>
      </c>
      <c r="D241" t="s">
        <v>793</v>
      </c>
      <c r="E241" s="4"/>
      <c r="F241" s="4"/>
      <c r="G241" s="6" t="s">
        <v>885</v>
      </c>
      <c r="H241" s="7" t="s">
        <v>885</v>
      </c>
      <c r="I241" s="7" t="s">
        <v>885</v>
      </c>
      <c r="K241" t="str">
        <f>IF(Tabela1[[#This Row],[Último PV]]&lt;&gt;"","Sim","Nao")</f>
        <v>Nao</v>
      </c>
      <c r="L241" s="9" t="s">
        <v>885</v>
      </c>
    </row>
    <row r="242" spans="1:12" x14ac:dyDescent="0.25">
      <c r="A242" t="s">
        <v>468</v>
      </c>
      <c r="B242" t="s">
        <v>525</v>
      </c>
      <c r="C242" t="s">
        <v>526</v>
      </c>
      <c r="D242" t="s">
        <v>795</v>
      </c>
      <c r="E242" s="4"/>
      <c r="F242" s="4"/>
      <c r="G242" s="6" t="s">
        <v>885</v>
      </c>
      <c r="H242" s="7" t="s">
        <v>885</v>
      </c>
      <c r="I242" s="7" t="s">
        <v>885</v>
      </c>
      <c r="K242" t="str">
        <f>IF(Tabela1[[#This Row],[Último PV]]&lt;&gt;"","Sim","Nao")</f>
        <v>Nao</v>
      </c>
      <c r="L242" s="9" t="s">
        <v>885</v>
      </c>
    </row>
    <row r="243" spans="1:12" x14ac:dyDescent="0.25">
      <c r="A243" t="s">
        <v>468</v>
      </c>
      <c r="B243" t="s">
        <v>527</v>
      </c>
      <c r="C243" t="s">
        <v>528</v>
      </c>
      <c r="D243" t="s">
        <v>812</v>
      </c>
      <c r="E243" s="4"/>
      <c r="F243" s="4"/>
      <c r="G243" s="6">
        <v>3926</v>
      </c>
      <c r="H243" s="7">
        <v>44364</v>
      </c>
      <c r="I243" s="7" t="s">
        <v>884</v>
      </c>
      <c r="K243" t="str">
        <f>IF(Tabela1[[#This Row],[Último PV]]&lt;&gt;"","Sim","Nao")</f>
        <v>Sim</v>
      </c>
      <c r="L243" s="9">
        <v>2681.8</v>
      </c>
    </row>
    <row r="244" spans="1:12" x14ac:dyDescent="0.25">
      <c r="A244" t="s">
        <v>468</v>
      </c>
      <c r="B244" t="s">
        <v>529</v>
      </c>
      <c r="C244" t="s">
        <v>530</v>
      </c>
      <c r="D244" t="s">
        <v>814</v>
      </c>
      <c r="E244" s="4"/>
      <c r="F244" s="4"/>
      <c r="G244" s="6" t="s">
        <v>885</v>
      </c>
      <c r="H244" s="7" t="s">
        <v>885</v>
      </c>
      <c r="I244" s="7" t="s">
        <v>885</v>
      </c>
      <c r="K244" t="str">
        <f>IF(Tabela1[[#This Row],[Último PV]]&lt;&gt;"","Sim","Nao")</f>
        <v>Nao</v>
      </c>
      <c r="L244" s="9" t="s">
        <v>885</v>
      </c>
    </row>
    <row r="245" spans="1:12" x14ac:dyDescent="0.25">
      <c r="A245" t="s">
        <v>468</v>
      </c>
      <c r="B245" t="s">
        <v>532</v>
      </c>
      <c r="C245" t="s">
        <v>531</v>
      </c>
      <c r="D245" t="s">
        <v>807</v>
      </c>
      <c r="E245" s="4"/>
      <c r="F245" s="4"/>
      <c r="G245" s="6" t="s">
        <v>885</v>
      </c>
      <c r="H245" s="7" t="s">
        <v>885</v>
      </c>
      <c r="I245" s="7" t="s">
        <v>885</v>
      </c>
      <c r="K245" t="str">
        <f>IF(Tabela1[[#This Row],[Último PV]]&lt;&gt;"","Sim","Nao")</f>
        <v>Nao</v>
      </c>
      <c r="L245" s="9" t="s">
        <v>885</v>
      </c>
    </row>
    <row r="246" spans="1:12" x14ac:dyDescent="0.25">
      <c r="A246" t="s">
        <v>468</v>
      </c>
      <c r="B246" t="s">
        <v>534</v>
      </c>
      <c r="C246" t="s">
        <v>533</v>
      </c>
      <c r="D246" t="s">
        <v>801</v>
      </c>
      <c r="E246" s="4"/>
      <c r="F246" s="4"/>
      <c r="G246" s="6" t="s">
        <v>885</v>
      </c>
      <c r="H246" s="7" t="s">
        <v>885</v>
      </c>
      <c r="I246" s="7" t="s">
        <v>885</v>
      </c>
      <c r="K246" t="str">
        <f>IF(Tabela1[[#This Row],[Último PV]]&lt;&gt;"","Sim","Nao")</f>
        <v>Nao</v>
      </c>
      <c r="L246" s="9" t="s">
        <v>885</v>
      </c>
    </row>
    <row r="247" spans="1:12" x14ac:dyDescent="0.25">
      <c r="A247" t="s">
        <v>468</v>
      </c>
      <c r="B247" t="s">
        <v>536</v>
      </c>
      <c r="C247" t="s">
        <v>535</v>
      </c>
      <c r="D247" t="s">
        <v>798</v>
      </c>
      <c r="E247" s="4"/>
      <c r="F247" s="4"/>
      <c r="G247" s="6" t="s">
        <v>885</v>
      </c>
      <c r="H247" s="7" t="s">
        <v>885</v>
      </c>
      <c r="I247" s="7" t="s">
        <v>885</v>
      </c>
      <c r="K247" t="str">
        <f>IF(Tabela1[[#This Row],[Último PV]]&lt;&gt;"","Sim","Nao")</f>
        <v>Nao</v>
      </c>
      <c r="L247" s="9" t="s">
        <v>885</v>
      </c>
    </row>
    <row r="248" spans="1:12" x14ac:dyDescent="0.25">
      <c r="A248" t="s">
        <v>468</v>
      </c>
      <c r="B248" t="s">
        <v>538</v>
      </c>
      <c r="C248" t="s">
        <v>537</v>
      </c>
      <c r="D248" t="s">
        <v>799</v>
      </c>
      <c r="E248" s="4"/>
      <c r="F248" s="4"/>
      <c r="G248" s="6" t="s">
        <v>885</v>
      </c>
      <c r="H248" s="7" t="s">
        <v>885</v>
      </c>
      <c r="I248" s="7" t="s">
        <v>885</v>
      </c>
      <c r="K248" t="str">
        <f>IF(Tabela1[[#This Row],[Último PV]]&lt;&gt;"","Sim","Nao")</f>
        <v>Nao</v>
      </c>
      <c r="L248" s="9" t="s">
        <v>885</v>
      </c>
    </row>
    <row r="249" spans="1:12" x14ac:dyDescent="0.25">
      <c r="A249" t="s">
        <v>468</v>
      </c>
      <c r="B249" t="s">
        <v>539</v>
      </c>
      <c r="C249" t="s">
        <v>540</v>
      </c>
      <c r="D249" t="s">
        <v>800</v>
      </c>
      <c r="E249" s="4"/>
      <c r="F249" s="4"/>
      <c r="G249" s="6" t="s">
        <v>885</v>
      </c>
      <c r="H249" s="7" t="s">
        <v>885</v>
      </c>
      <c r="I249" s="7" t="s">
        <v>885</v>
      </c>
      <c r="K249" t="str">
        <f>IF(Tabela1[[#This Row],[Último PV]]&lt;&gt;"","Sim","Nao")</f>
        <v>Nao</v>
      </c>
      <c r="L249" s="9" t="s">
        <v>885</v>
      </c>
    </row>
    <row r="250" spans="1:12" x14ac:dyDescent="0.25">
      <c r="A250" t="s">
        <v>468</v>
      </c>
      <c r="B250" t="s">
        <v>541</v>
      </c>
      <c r="C250" t="s">
        <v>542</v>
      </c>
      <c r="D250" t="s">
        <v>797</v>
      </c>
      <c r="E250" s="4"/>
      <c r="F250" s="4"/>
      <c r="G250" s="6" t="s">
        <v>885</v>
      </c>
      <c r="H250" s="7" t="s">
        <v>885</v>
      </c>
      <c r="I250" s="7" t="s">
        <v>885</v>
      </c>
      <c r="K250" t="str">
        <f>IF(Tabela1[[#This Row],[Último PV]]&lt;&gt;"","Sim","Nao")</f>
        <v>Nao</v>
      </c>
      <c r="L250" s="9" t="s">
        <v>885</v>
      </c>
    </row>
    <row r="251" spans="1:12" x14ac:dyDescent="0.25">
      <c r="A251" t="s">
        <v>468</v>
      </c>
      <c r="B251" t="s">
        <v>543</v>
      </c>
      <c r="C251" t="s">
        <v>544</v>
      </c>
      <c r="D251" t="s">
        <v>796</v>
      </c>
      <c r="E251" s="4"/>
      <c r="F251" s="4"/>
      <c r="G251" s="6" t="s">
        <v>885</v>
      </c>
      <c r="H251" s="7" t="s">
        <v>885</v>
      </c>
      <c r="I251" s="7" t="s">
        <v>885</v>
      </c>
      <c r="K251" t="str">
        <f>IF(Tabela1[[#This Row],[Último PV]]&lt;&gt;"","Sim","Nao")</f>
        <v>Nao</v>
      </c>
      <c r="L251" s="9" t="s">
        <v>885</v>
      </c>
    </row>
    <row r="252" spans="1:12" x14ac:dyDescent="0.25">
      <c r="A252" t="s">
        <v>468</v>
      </c>
      <c r="B252" t="s">
        <v>545</v>
      </c>
      <c r="C252" t="s">
        <v>546</v>
      </c>
      <c r="D252" t="s">
        <v>803</v>
      </c>
      <c r="E252" s="4"/>
      <c r="F252" s="4"/>
      <c r="G252" s="6" t="s">
        <v>885</v>
      </c>
      <c r="H252" s="7" t="s">
        <v>885</v>
      </c>
      <c r="I252" s="7" t="s">
        <v>885</v>
      </c>
      <c r="K252" t="str">
        <f>IF(Tabela1[[#This Row],[Último PV]]&lt;&gt;"","Sim","Nao")</f>
        <v>Nao</v>
      </c>
      <c r="L252" s="9" t="s">
        <v>885</v>
      </c>
    </row>
    <row r="253" spans="1:12" x14ac:dyDescent="0.25">
      <c r="A253" t="s">
        <v>468</v>
      </c>
      <c r="B253" t="s">
        <v>547</v>
      </c>
      <c r="C253" t="s">
        <v>548</v>
      </c>
      <c r="D253" t="s">
        <v>813</v>
      </c>
      <c r="E253" s="4"/>
      <c r="F253" s="4"/>
      <c r="G253" s="6" t="s">
        <v>885</v>
      </c>
      <c r="H253" s="7" t="s">
        <v>885</v>
      </c>
      <c r="I253" s="7" t="s">
        <v>885</v>
      </c>
      <c r="K253" t="str">
        <f>IF(Tabela1[[#This Row],[Último PV]]&lt;&gt;"","Sim","Nao")</f>
        <v>Nao</v>
      </c>
      <c r="L253" s="9" t="s">
        <v>885</v>
      </c>
    </row>
    <row r="254" spans="1:12" x14ac:dyDescent="0.25">
      <c r="A254" t="s">
        <v>468</v>
      </c>
      <c r="B254" t="s">
        <v>550</v>
      </c>
      <c r="C254" t="s">
        <v>549</v>
      </c>
      <c r="D254" t="s">
        <v>815</v>
      </c>
      <c r="E254" s="4"/>
      <c r="F254" s="4"/>
      <c r="G254" s="6" t="s">
        <v>885</v>
      </c>
      <c r="H254" s="7" t="s">
        <v>885</v>
      </c>
      <c r="I254" s="7" t="s">
        <v>885</v>
      </c>
      <c r="K254" t="str">
        <f>IF(Tabela1[[#This Row],[Último PV]]&lt;&gt;"","Sim","Nao")</f>
        <v>Nao</v>
      </c>
      <c r="L254" s="9" t="s">
        <v>885</v>
      </c>
    </row>
    <row r="255" spans="1:12" x14ac:dyDescent="0.25">
      <c r="A255" t="s">
        <v>468</v>
      </c>
      <c r="B255" t="s">
        <v>552</v>
      </c>
      <c r="C255" t="s">
        <v>551</v>
      </c>
      <c r="D255" t="s">
        <v>816</v>
      </c>
      <c r="E255" s="4"/>
      <c r="F255" s="4"/>
      <c r="G255" s="6" t="s">
        <v>885</v>
      </c>
      <c r="H255" s="7" t="s">
        <v>885</v>
      </c>
      <c r="I255" s="7" t="s">
        <v>885</v>
      </c>
      <c r="K255" t="str">
        <f>IF(Tabela1[[#This Row],[Último PV]]&lt;&gt;"","Sim","Nao")</f>
        <v>Nao</v>
      </c>
      <c r="L255" s="9" t="s">
        <v>885</v>
      </c>
    </row>
    <row r="256" spans="1:12" x14ac:dyDescent="0.25">
      <c r="A256" t="s">
        <v>468</v>
      </c>
      <c r="B256" t="s">
        <v>554</v>
      </c>
      <c r="C256" t="s">
        <v>553</v>
      </c>
      <c r="D256" t="s">
        <v>817</v>
      </c>
      <c r="E256" s="4"/>
      <c r="F256" s="4"/>
      <c r="G256" s="6" t="s">
        <v>885</v>
      </c>
      <c r="H256" s="7" t="s">
        <v>885</v>
      </c>
      <c r="I256" s="7" t="s">
        <v>885</v>
      </c>
      <c r="K256" t="str">
        <f>IF(Tabela1[[#This Row],[Último PV]]&lt;&gt;"","Sim","Nao")</f>
        <v>Nao</v>
      </c>
      <c r="L256" s="9" t="s">
        <v>885</v>
      </c>
    </row>
    <row r="257" spans="1:12" x14ac:dyDescent="0.25">
      <c r="A257" t="s">
        <v>468</v>
      </c>
      <c r="B257" t="s">
        <v>556</v>
      </c>
      <c r="C257" t="s">
        <v>555</v>
      </c>
      <c r="D257" t="s">
        <v>819</v>
      </c>
      <c r="E257" s="4"/>
      <c r="F257" s="4"/>
      <c r="G257" s="6" t="s">
        <v>885</v>
      </c>
      <c r="H257" s="7" t="s">
        <v>885</v>
      </c>
      <c r="I257" s="7" t="s">
        <v>885</v>
      </c>
      <c r="K257" t="str">
        <f>IF(Tabela1[[#This Row],[Último PV]]&lt;&gt;"","Sim","Nao")</f>
        <v>Nao</v>
      </c>
      <c r="L257" s="9" t="s">
        <v>885</v>
      </c>
    </row>
    <row r="258" spans="1:12" x14ac:dyDescent="0.25">
      <c r="A258" t="s">
        <v>468</v>
      </c>
      <c r="B258" t="s">
        <v>557</v>
      </c>
      <c r="C258" t="s">
        <v>824</v>
      </c>
      <c r="D258" t="s">
        <v>823</v>
      </c>
      <c r="E258" s="4"/>
      <c r="F258" s="4"/>
      <c r="G258" s="6" t="s">
        <v>885</v>
      </c>
      <c r="H258" s="7" t="s">
        <v>885</v>
      </c>
      <c r="I258" s="7" t="s">
        <v>885</v>
      </c>
      <c r="K258" t="str">
        <f>IF(Tabela1[[#This Row],[Último PV]]&lt;&gt;"","Sim","Nao")</f>
        <v>Nao</v>
      </c>
      <c r="L258" s="9" t="s">
        <v>885</v>
      </c>
    </row>
    <row r="259" spans="1:12" x14ac:dyDescent="0.25">
      <c r="A259" t="s">
        <v>468</v>
      </c>
      <c r="B259" t="s">
        <v>559</v>
      </c>
      <c r="C259" t="s">
        <v>558</v>
      </c>
      <c r="D259" t="s">
        <v>811</v>
      </c>
      <c r="E259" s="4"/>
      <c r="F259" s="4"/>
      <c r="G259" s="6">
        <v>9505</v>
      </c>
      <c r="H259" s="7">
        <v>45852</v>
      </c>
      <c r="I259" s="7" t="s">
        <v>884</v>
      </c>
      <c r="J259" t="s">
        <v>879</v>
      </c>
      <c r="K259" t="str">
        <f>IF(Tabela1[[#This Row],[Último PV]]&lt;&gt;"","Sim","Nao")</f>
        <v>Sim</v>
      </c>
      <c r="L259" s="9">
        <v>813.18</v>
      </c>
    </row>
    <row r="260" spans="1:12" x14ac:dyDescent="0.25">
      <c r="A260" t="s">
        <v>468</v>
      </c>
      <c r="B260" t="s">
        <v>561</v>
      </c>
      <c r="C260" t="s">
        <v>560</v>
      </c>
      <c r="D260" t="s">
        <v>804</v>
      </c>
      <c r="E260" s="4"/>
      <c r="F260" s="4"/>
      <c r="G260" s="6" t="s">
        <v>885</v>
      </c>
      <c r="H260" s="7" t="s">
        <v>885</v>
      </c>
      <c r="I260" s="7" t="s">
        <v>885</v>
      </c>
      <c r="K260" t="str">
        <f>IF(Tabela1[[#This Row],[Último PV]]&lt;&gt;"","Sim","Nao")</f>
        <v>Nao</v>
      </c>
      <c r="L260" s="9" t="s">
        <v>885</v>
      </c>
    </row>
    <row r="261" spans="1:12" x14ac:dyDescent="0.25">
      <c r="A261" t="s">
        <v>468</v>
      </c>
      <c r="B261" t="s">
        <v>563</v>
      </c>
      <c r="C261" t="s">
        <v>562</v>
      </c>
      <c r="D261" t="s">
        <v>820</v>
      </c>
      <c r="E261" s="4"/>
      <c r="F261" s="4"/>
      <c r="G261" s="6">
        <v>9707</v>
      </c>
      <c r="H261" s="7">
        <v>45888</v>
      </c>
      <c r="I261" s="7" t="s">
        <v>884</v>
      </c>
      <c r="J261" t="s">
        <v>883</v>
      </c>
      <c r="K261" t="str">
        <f>IF(Tabela1[[#This Row],[Último PV]]&lt;&gt;"","Sim","Nao")</f>
        <v>Sim</v>
      </c>
      <c r="L261" s="9">
        <v>160240.84</v>
      </c>
    </row>
    <row r="262" spans="1:12" x14ac:dyDescent="0.25">
      <c r="A262" t="s">
        <v>468</v>
      </c>
      <c r="B262" t="s">
        <v>565</v>
      </c>
      <c r="C262" t="s">
        <v>564</v>
      </c>
      <c r="D262" t="s">
        <v>825</v>
      </c>
      <c r="E262" s="4"/>
      <c r="F262" s="4"/>
      <c r="G262" s="6" t="s">
        <v>885</v>
      </c>
      <c r="H262" s="7" t="s">
        <v>885</v>
      </c>
      <c r="I262" s="7" t="s">
        <v>885</v>
      </c>
      <c r="K262" t="str">
        <f>IF(Tabela1[[#This Row],[Último PV]]&lt;&gt;"","Sim","Nao")</f>
        <v>Nao</v>
      </c>
      <c r="L262" s="9" t="s">
        <v>885</v>
      </c>
    </row>
    <row r="263" spans="1:12" x14ac:dyDescent="0.25">
      <c r="A263" t="s">
        <v>468</v>
      </c>
      <c r="B263" t="s">
        <v>567</v>
      </c>
      <c r="C263" t="s">
        <v>566</v>
      </c>
      <c r="D263" t="s">
        <v>822</v>
      </c>
      <c r="E263" s="4"/>
      <c r="F263" s="4"/>
      <c r="G263" s="6" t="s">
        <v>885</v>
      </c>
      <c r="H263" s="7" t="s">
        <v>885</v>
      </c>
      <c r="I263" s="7" t="s">
        <v>885</v>
      </c>
      <c r="K263" t="str">
        <f>IF(Tabela1[[#This Row],[Último PV]]&lt;&gt;"","Sim","Nao")</f>
        <v>Nao</v>
      </c>
      <c r="L263" s="9" t="s">
        <v>885</v>
      </c>
    </row>
    <row r="264" spans="1:12" x14ac:dyDescent="0.25">
      <c r="A264" t="s">
        <v>468</v>
      </c>
      <c r="B264" t="s">
        <v>568</v>
      </c>
      <c r="C264" t="s">
        <v>810</v>
      </c>
      <c r="D264" t="s">
        <v>809</v>
      </c>
      <c r="E264" s="4"/>
      <c r="F264" s="4"/>
      <c r="G264" s="6">
        <v>8887</v>
      </c>
      <c r="H264" s="7">
        <v>45744</v>
      </c>
      <c r="I264" s="7" t="s">
        <v>884</v>
      </c>
      <c r="J264" t="s">
        <v>883</v>
      </c>
      <c r="K264" t="str">
        <f>IF(Tabela1[[#This Row],[Último PV]]&lt;&gt;"","Sim","Nao")</f>
        <v>Sim</v>
      </c>
      <c r="L264" s="9">
        <v>102209.7</v>
      </c>
    </row>
    <row r="265" spans="1:12" x14ac:dyDescent="0.25">
      <c r="A265" t="s">
        <v>468</v>
      </c>
      <c r="B265" t="s">
        <v>570</v>
      </c>
      <c r="C265" t="s">
        <v>569</v>
      </c>
      <c r="D265" t="s">
        <v>806</v>
      </c>
      <c r="E265" s="4"/>
      <c r="F265" s="4"/>
      <c r="G265" s="6">
        <v>4409</v>
      </c>
      <c r="H265" s="7">
        <v>44501</v>
      </c>
      <c r="I265" s="7" t="s">
        <v>884</v>
      </c>
      <c r="K265" t="str">
        <f>IF(Tabela1[[#This Row],[Último PV]]&lt;&gt;"","Sim","Nao")</f>
        <v>Sim</v>
      </c>
      <c r="L265" s="9">
        <v>1752.75</v>
      </c>
    </row>
    <row r="266" spans="1:12" x14ac:dyDescent="0.25">
      <c r="A266" t="s">
        <v>468</v>
      </c>
      <c r="B266" t="s">
        <v>572</v>
      </c>
      <c r="C266" t="s">
        <v>571</v>
      </c>
      <c r="D266" t="s">
        <v>826</v>
      </c>
      <c r="E266" s="4"/>
      <c r="F266" s="4"/>
      <c r="G266" s="6" t="s">
        <v>885</v>
      </c>
      <c r="H266" s="7" t="s">
        <v>885</v>
      </c>
      <c r="I266" s="7" t="s">
        <v>885</v>
      </c>
      <c r="K266" t="str">
        <f>IF(Tabela1[[#This Row],[Último PV]]&lt;&gt;"","Sim","Nao")</f>
        <v>Nao</v>
      </c>
      <c r="L266" s="9" t="s">
        <v>885</v>
      </c>
    </row>
    <row r="267" spans="1:12" x14ac:dyDescent="0.25">
      <c r="A267" t="s">
        <v>468</v>
      </c>
      <c r="B267" t="s">
        <v>573</v>
      </c>
      <c r="C267" t="s">
        <v>574</v>
      </c>
      <c r="D267" t="s">
        <v>818</v>
      </c>
      <c r="E267" s="4"/>
      <c r="F267" s="4"/>
      <c r="G267" s="6" t="s">
        <v>885</v>
      </c>
      <c r="H267" s="7" t="s">
        <v>885</v>
      </c>
      <c r="I267" s="7" t="s">
        <v>885</v>
      </c>
      <c r="K267" t="str">
        <f>IF(Tabela1[[#This Row],[Último PV]]&lt;&gt;"","Sim","Nao")</f>
        <v>Nao</v>
      </c>
      <c r="L267" s="9" t="s">
        <v>885</v>
      </c>
    </row>
    <row r="268" spans="1:12" x14ac:dyDescent="0.25">
      <c r="A268" t="s">
        <v>468</v>
      </c>
      <c r="B268" t="s">
        <v>576</v>
      </c>
      <c r="C268" t="s">
        <v>575</v>
      </c>
      <c r="D268" t="s">
        <v>808</v>
      </c>
      <c r="E268" s="4"/>
      <c r="F268" s="4"/>
      <c r="G268" s="6" t="s">
        <v>885</v>
      </c>
      <c r="H268" s="7" t="s">
        <v>885</v>
      </c>
      <c r="I268" s="7" t="s">
        <v>885</v>
      </c>
      <c r="K268" t="str">
        <f>IF(Tabela1[[#This Row],[Último PV]]&lt;&gt;"","Sim","Nao")</f>
        <v>Nao</v>
      </c>
      <c r="L268" s="9" t="s">
        <v>885</v>
      </c>
    </row>
    <row r="269" spans="1:12" x14ac:dyDescent="0.25">
      <c r="A269" t="s">
        <v>468</v>
      </c>
      <c r="B269" t="s">
        <v>578</v>
      </c>
      <c r="C269" t="s">
        <v>577</v>
      </c>
      <c r="D269" t="s">
        <v>802</v>
      </c>
      <c r="E269" s="4"/>
      <c r="F269" s="4"/>
      <c r="G269" s="6" t="s">
        <v>885</v>
      </c>
      <c r="H269" s="7" t="s">
        <v>885</v>
      </c>
      <c r="I269" s="7" t="s">
        <v>885</v>
      </c>
      <c r="K269" t="str">
        <f>IF(Tabela1[[#This Row],[Último PV]]&lt;&gt;"","Sim","Nao")</f>
        <v>Nao</v>
      </c>
      <c r="L269" s="9" t="s">
        <v>885</v>
      </c>
    </row>
    <row r="270" spans="1:12" x14ac:dyDescent="0.25">
      <c r="A270" t="s">
        <v>468</v>
      </c>
      <c r="B270" t="s">
        <v>580</v>
      </c>
      <c r="C270" t="s">
        <v>579</v>
      </c>
      <c r="D270" t="s">
        <v>805</v>
      </c>
      <c r="E270" s="4"/>
      <c r="F270" s="4"/>
      <c r="G270" s="6" t="s">
        <v>885</v>
      </c>
      <c r="H270" s="7" t="s">
        <v>885</v>
      </c>
      <c r="I270" s="7" t="s">
        <v>885</v>
      </c>
      <c r="K270" t="str">
        <f>IF(Tabela1[[#This Row],[Último PV]]&lt;&gt;"","Sim","Nao")</f>
        <v>Nao</v>
      </c>
      <c r="L270" s="9" t="s">
        <v>885</v>
      </c>
    </row>
    <row r="271" spans="1:12" x14ac:dyDescent="0.25">
      <c r="A271" t="s">
        <v>468</v>
      </c>
      <c r="B271" t="s">
        <v>581</v>
      </c>
      <c r="C271" t="s">
        <v>582</v>
      </c>
      <c r="D271" t="s">
        <v>827</v>
      </c>
      <c r="E271" s="4"/>
      <c r="F271" s="4"/>
      <c r="G271" s="6">
        <v>9660</v>
      </c>
      <c r="H271" s="7">
        <v>45883</v>
      </c>
      <c r="I271" s="7" t="s">
        <v>884</v>
      </c>
      <c r="J271" t="s">
        <v>883</v>
      </c>
      <c r="K271" t="str">
        <f>IF(Tabela1[[#This Row],[Último PV]]&lt;&gt;"","Sim","Nao")</f>
        <v>Sim</v>
      </c>
      <c r="L271" s="9">
        <v>110266.41</v>
      </c>
    </row>
    <row r="272" spans="1:12" x14ac:dyDescent="0.25">
      <c r="A272" t="s">
        <v>468</v>
      </c>
      <c r="B272" t="s">
        <v>584</v>
      </c>
      <c r="C272" t="s">
        <v>583</v>
      </c>
      <c r="D272" t="s">
        <v>821</v>
      </c>
      <c r="E272" s="4"/>
      <c r="F272" s="4"/>
      <c r="G272" s="6" t="s">
        <v>885</v>
      </c>
      <c r="H272" s="7" t="s">
        <v>885</v>
      </c>
      <c r="I272" s="7" t="s">
        <v>885</v>
      </c>
      <c r="K272" t="str">
        <f>IF(Tabela1[[#This Row],[Último PV]]&lt;&gt;"","Sim","Nao")</f>
        <v>Nao</v>
      </c>
      <c r="L272" s="9" t="s">
        <v>885</v>
      </c>
    </row>
    <row r="273" spans="1:12" x14ac:dyDescent="0.25">
      <c r="A273" t="s">
        <v>468</v>
      </c>
      <c r="B273" t="s">
        <v>586</v>
      </c>
      <c r="C273" t="s">
        <v>585</v>
      </c>
      <c r="D273" t="s">
        <v>828</v>
      </c>
      <c r="E273" s="4"/>
      <c r="F273" s="4"/>
      <c r="G273" s="6" t="s">
        <v>885</v>
      </c>
      <c r="H273" s="7" t="s">
        <v>885</v>
      </c>
      <c r="I273" s="7" t="s">
        <v>885</v>
      </c>
      <c r="K273" t="str">
        <f>IF(Tabela1[[#This Row],[Último PV]]&lt;&gt;"","Sim","Nao")</f>
        <v>Nao</v>
      </c>
      <c r="L273" s="9" t="s">
        <v>885</v>
      </c>
    </row>
    <row r="274" spans="1:12" x14ac:dyDescent="0.25">
      <c r="A274" t="s">
        <v>468</v>
      </c>
      <c r="B274" t="s">
        <v>623</v>
      </c>
      <c r="C274" t="s">
        <v>587</v>
      </c>
      <c r="D274" t="s">
        <v>868</v>
      </c>
      <c r="E274" s="4"/>
      <c r="F274" s="4"/>
      <c r="G274" s="6" t="s">
        <v>885</v>
      </c>
      <c r="H274" s="7" t="s">
        <v>885</v>
      </c>
      <c r="I274" s="7" t="s">
        <v>885</v>
      </c>
      <c r="K274" t="str">
        <f>IF(Tabela1[[#This Row],[Último PV]]&lt;&gt;"","Sim","Nao")</f>
        <v>Nao</v>
      </c>
      <c r="L274" s="9" t="s">
        <v>885</v>
      </c>
    </row>
    <row r="275" spans="1:12" x14ac:dyDescent="0.25">
      <c r="A275" t="s">
        <v>468</v>
      </c>
      <c r="B275" t="s">
        <v>624</v>
      </c>
      <c r="C275" t="s">
        <v>588</v>
      </c>
      <c r="D275" t="s">
        <v>852</v>
      </c>
      <c r="E275" s="4"/>
      <c r="F275" s="4"/>
      <c r="G275" s="6" t="s">
        <v>885</v>
      </c>
      <c r="H275" s="7" t="s">
        <v>885</v>
      </c>
      <c r="I275" s="7" t="s">
        <v>885</v>
      </c>
      <c r="K275" t="str">
        <f>IF(Tabela1[[#This Row],[Último PV]]&lt;&gt;"","Sim","Nao")</f>
        <v>Nao</v>
      </c>
      <c r="L275" s="9" t="s">
        <v>885</v>
      </c>
    </row>
    <row r="276" spans="1:12" x14ac:dyDescent="0.25">
      <c r="A276" t="s">
        <v>468</v>
      </c>
      <c r="B276" t="s">
        <v>625</v>
      </c>
      <c r="C276" t="s">
        <v>589</v>
      </c>
      <c r="D276" t="s">
        <v>853</v>
      </c>
      <c r="E276" s="4"/>
      <c r="F276" s="4"/>
      <c r="G276" s="6" t="s">
        <v>885</v>
      </c>
      <c r="H276" s="7" t="s">
        <v>885</v>
      </c>
      <c r="I276" s="7" t="s">
        <v>885</v>
      </c>
      <c r="K276" t="str">
        <f>IF(Tabela1[[#This Row],[Último PV]]&lt;&gt;"","Sim","Nao")</f>
        <v>Nao</v>
      </c>
      <c r="L276" s="9" t="s">
        <v>885</v>
      </c>
    </row>
    <row r="277" spans="1:12" x14ac:dyDescent="0.25">
      <c r="A277" t="s">
        <v>468</v>
      </c>
      <c r="B277" t="s">
        <v>626</v>
      </c>
      <c r="C277" t="s">
        <v>590</v>
      </c>
      <c r="D277" t="s">
        <v>848</v>
      </c>
      <c r="E277" s="4"/>
      <c r="F277" s="4"/>
      <c r="G277" s="6" t="s">
        <v>885</v>
      </c>
      <c r="H277" s="7" t="s">
        <v>885</v>
      </c>
      <c r="I277" s="7" t="s">
        <v>885</v>
      </c>
      <c r="K277" t="str">
        <f>IF(Tabela1[[#This Row],[Último PV]]&lt;&gt;"","Sim","Nao")</f>
        <v>Nao</v>
      </c>
      <c r="L277" s="9" t="s">
        <v>885</v>
      </c>
    </row>
    <row r="278" spans="1:12" x14ac:dyDescent="0.25">
      <c r="A278" t="s">
        <v>468</v>
      </c>
      <c r="B278" t="s">
        <v>627</v>
      </c>
      <c r="C278" t="s">
        <v>591</v>
      </c>
      <c r="D278" t="s">
        <v>846</v>
      </c>
      <c r="E278" s="4"/>
      <c r="F278" s="4"/>
      <c r="G278" s="6" t="s">
        <v>885</v>
      </c>
      <c r="H278" s="7" t="s">
        <v>885</v>
      </c>
      <c r="I278" s="7" t="s">
        <v>885</v>
      </c>
      <c r="K278" t="str">
        <f>IF(Tabela1[[#This Row],[Último PV]]&lt;&gt;"","Sim","Nao")</f>
        <v>Nao</v>
      </c>
      <c r="L278" s="9" t="s">
        <v>885</v>
      </c>
    </row>
    <row r="279" spans="1:12" x14ac:dyDescent="0.25">
      <c r="A279" t="s">
        <v>468</v>
      </c>
      <c r="B279" t="s">
        <v>628</v>
      </c>
      <c r="C279" t="s">
        <v>592</v>
      </c>
      <c r="D279" t="s">
        <v>849</v>
      </c>
      <c r="E279" s="4"/>
      <c r="F279" s="4"/>
      <c r="G279" s="6" t="s">
        <v>885</v>
      </c>
      <c r="H279" s="7" t="s">
        <v>885</v>
      </c>
      <c r="I279" s="7" t="s">
        <v>885</v>
      </c>
      <c r="K279" t="str">
        <f>IF(Tabela1[[#This Row],[Último PV]]&lt;&gt;"","Sim","Nao")</f>
        <v>Nao</v>
      </c>
      <c r="L279" s="9" t="s">
        <v>885</v>
      </c>
    </row>
    <row r="280" spans="1:12" x14ac:dyDescent="0.25">
      <c r="A280" t="s">
        <v>468</v>
      </c>
      <c r="B280" t="s">
        <v>629</v>
      </c>
      <c r="C280" t="s">
        <v>593</v>
      </c>
      <c r="D280" t="s">
        <v>869</v>
      </c>
      <c r="E280" s="4"/>
      <c r="F280" s="4"/>
      <c r="G280" s="6" t="s">
        <v>885</v>
      </c>
      <c r="H280" s="7" t="s">
        <v>885</v>
      </c>
      <c r="I280" s="7" t="s">
        <v>885</v>
      </c>
      <c r="K280" t="str">
        <f>IF(Tabela1[[#This Row],[Último PV]]&lt;&gt;"","Sim","Nao")</f>
        <v>Nao</v>
      </c>
      <c r="L280" s="9" t="s">
        <v>885</v>
      </c>
    </row>
    <row r="281" spans="1:12" x14ac:dyDescent="0.25">
      <c r="A281" t="s">
        <v>468</v>
      </c>
      <c r="B281" t="s">
        <v>648</v>
      </c>
      <c r="C281" t="s">
        <v>609</v>
      </c>
      <c r="D281" t="s">
        <v>873</v>
      </c>
      <c r="E281" s="4"/>
      <c r="F281" s="4"/>
      <c r="G281" s="6" t="s">
        <v>885</v>
      </c>
      <c r="H281" s="7" t="s">
        <v>885</v>
      </c>
      <c r="I281" s="7" t="s">
        <v>885</v>
      </c>
      <c r="K281" t="str">
        <f>IF(Tabela1[[#This Row],[Último PV]]&lt;&gt;"","Sim","Nao")</f>
        <v>Nao</v>
      </c>
      <c r="L281" s="9" t="s">
        <v>885</v>
      </c>
    </row>
    <row r="282" spans="1:12" x14ac:dyDescent="0.25">
      <c r="A282" t="s">
        <v>468</v>
      </c>
      <c r="B282" t="s">
        <v>631</v>
      </c>
      <c r="C282" t="s">
        <v>595</v>
      </c>
      <c r="D282" t="s">
        <v>851</v>
      </c>
      <c r="E282" s="4"/>
      <c r="F282" s="4"/>
      <c r="G282" s="6" t="s">
        <v>885</v>
      </c>
      <c r="H282" s="7" t="s">
        <v>885</v>
      </c>
      <c r="I282" s="7" t="s">
        <v>885</v>
      </c>
      <c r="K282" t="str">
        <f>IF(Tabela1[[#This Row],[Último PV]]&lt;&gt;"","Sim","Nao")</f>
        <v>Nao</v>
      </c>
      <c r="L282" s="9" t="s">
        <v>885</v>
      </c>
    </row>
    <row r="283" spans="1:12" x14ac:dyDescent="0.25">
      <c r="A283" t="s">
        <v>468</v>
      </c>
      <c r="B283" t="s">
        <v>632</v>
      </c>
      <c r="C283" t="s">
        <v>856</v>
      </c>
      <c r="D283" t="s">
        <v>855</v>
      </c>
      <c r="E283" s="4"/>
      <c r="F283" s="4"/>
      <c r="G283" s="6" t="s">
        <v>885</v>
      </c>
      <c r="H283" s="7" t="s">
        <v>885</v>
      </c>
      <c r="I283" s="7" t="s">
        <v>885</v>
      </c>
      <c r="K283" t="str">
        <f>IF(Tabela1[[#This Row],[Último PV]]&lt;&gt;"","Sim","Nao")</f>
        <v>Nao</v>
      </c>
      <c r="L283" s="9" t="s">
        <v>885</v>
      </c>
    </row>
    <row r="284" spans="1:12" x14ac:dyDescent="0.25">
      <c r="A284" t="s">
        <v>468</v>
      </c>
      <c r="B284" t="s">
        <v>633</v>
      </c>
      <c r="C284" t="s">
        <v>596</v>
      </c>
      <c r="D284" t="s">
        <v>845</v>
      </c>
      <c r="E284" s="4"/>
      <c r="F284" s="4"/>
      <c r="G284" s="6" t="s">
        <v>885</v>
      </c>
      <c r="H284" s="7" t="s">
        <v>885</v>
      </c>
      <c r="I284" s="7" t="s">
        <v>885</v>
      </c>
      <c r="K284" t="str">
        <f>IF(Tabela1[[#This Row],[Último PV]]&lt;&gt;"","Sim","Nao")</f>
        <v>Nao</v>
      </c>
      <c r="L284" s="9" t="s">
        <v>885</v>
      </c>
    </row>
    <row r="285" spans="1:12" x14ac:dyDescent="0.25">
      <c r="A285" t="s">
        <v>468</v>
      </c>
      <c r="B285" t="s">
        <v>630</v>
      </c>
      <c r="C285" t="s">
        <v>594</v>
      </c>
      <c r="D285" t="s">
        <v>844</v>
      </c>
      <c r="E285" s="4"/>
      <c r="F285" s="4"/>
      <c r="G285" s="6" t="s">
        <v>885</v>
      </c>
      <c r="H285" s="7" t="s">
        <v>885</v>
      </c>
      <c r="I285" s="7" t="s">
        <v>885</v>
      </c>
      <c r="K285" t="str">
        <f>IF(Tabela1[[#This Row],[Último PV]]&lt;&gt;"","Sim","Nao")</f>
        <v>Nao</v>
      </c>
      <c r="L285" s="9" t="s">
        <v>885</v>
      </c>
    </row>
    <row r="286" spans="1:12" x14ac:dyDescent="0.25">
      <c r="A286" t="s">
        <v>468</v>
      </c>
      <c r="B286" t="s">
        <v>634</v>
      </c>
      <c r="C286" t="s">
        <v>597</v>
      </c>
      <c r="E286" s="4"/>
      <c r="F286" s="4"/>
      <c r="G286" s="6" t="s">
        <v>885</v>
      </c>
      <c r="H286" s="7" t="s">
        <v>885</v>
      </c>
      <c r="I286" s="7" t="s">
        <v>885</v>
      </c>
      <c r="K286" t="str">
        <f>IF(Tabela1[[#This Row],[Último PV]]&lt;&gt;"","Sim","Nao")</f>
        <v>Nao</v>
      </c>
      <c r="L286" s="9" t="s">
        <v>885</v>
      </c>
    </row>
    <row r="287" spans="1:12" x14ac:dyDescent="0.25">
      <c r="A287" t="s">
        <v>468</v>
      </c>
      <c r="B287" t="s">
        <v>635</v>
      </c>
      <c r="C287" t="s">
        <v>598</v>
      </c>
      <c r="E287" s="4"/>
      <c r="F287" s="4"/>
      <c r="G287" s="6" t="s">
        <v>885</v>
      </c>
      <c r="H287" s="7" t="s">
        <v>885</v>
      </c>
      <c r="I287" s="7" t="s">
        <v>885</v>
      </c>
      <c r="K287" t="str">
        <f>IF(Tabela1[[#This Row],[Último PV]]&lt;&gt;"","Sim","Nao")</f>
        <v>Nao</v>
      </c>
      <c r="L287" s="9" t="s">
        <v>885</v>
      </c>
    </row>
    <row r="288" spans="1:12" x14ac:dyDescent="0.25">
      <c r="A288" t="s">
        <v>468</v>
      </c>
      <c r="B288" t="s">
        <v>658</v>
      </c>
      <c r="C288" t="s">
        <v>619</v>
      </c>
      <c r="E288" s="4"/>
      <c r="F288" s="4"/>
      <c r="G288" s="6" t="s">
        <v>885</v>
      </c>
      <c r="H288" s="7" t="s">
        <v>885</v>
      </c>
      <c r="I288" s="7" t="s">
        <v>885</v>
      </c>
      <c r="K288" t="str">
        <f>IF(Tabela1[[#This Row],[Último PV]]&lt;&gt;"","Sim","Nao")</f>
        <v>Nao</v>
      </c>
      <c r="L288" s="9" t="s">
        <v>885</v>
      </c>
    </row>
    <row r="289" spans="1:12" x14ac:dyDescent="0.25">
      <c r="A289" t="s">
        <v>468</v>
      </c>
      <c r="B289" t="s">
        <v>638</v>
      </c>
      <c r="C289" t="s">
        <v>601</v>
      </c>
      <c r="D289" t="s">
        <v>874</v>
      </c>
      <c r="E289" s="4"/>
      <c r="F289" s="4"/>
      <c r="G289" s="6" t="s">
        <v>885</v>
      </c>
      <c r="H289" s="7" t="s">
        <v>885</v>
      </c>
      <c r="I289" s="7" t="s">
        <v>885</v>
      </c>
      <c r="K289" t="str">
        <f>IF(Tabela1[[#This Row],[Último PV]]&lt;&gt;"","Sim","Nao")</f>
        <v>Nao</v>
      </c>
      <c r="L289" s="9" t="s">
        <v>885</v>
      </c>
    </row>
    <row r="290" spans="1:12" x14ac:dyDescent="0.25">
      <c r="A290" t="s">
        <v>468</v>
      </c>
      <c r="B290" t="s">
        <v>639</v>
      </c>
      <c r="C290" t="s">
        <v>864</v>
      </c>
      <c r="D290" t="s">
        <v>863</v>
      </c>
      <c r="E290" s="4"/>
      <c r="F290" s="4"/>
      <c r="G290" s="6" t="s">
        <v>885</v>
      </c>
      <c r="H290" s="7" t="s">
        <v>885</v>
      </c>
      <c r="I290" s="7" t="s">
        <v>885</v>
      </c>
      <c r="K290" t="str">
        <f>IF(Tabela1[[#This Row],[Último PV]]&lt;&gt;"","Sim","Nao")</f>
        <v>Nao</v>
      </c>
      <c r="L290" s="9" t="s">
        <v>885</v>
      </c>
    </row>
    <row r="291" spans="1:12" x14ac:dyDescent="0.25">
      <c r="A291" t="s">
        <v>468</v>
      </c>
      <c r="B291" t="s">
        <v>657</v>
      </c>
      <c r="C291" t="s">
        <v>618</v>
      </c>
      <c r="E291" s="4"/>
      <c r="F291" s="4"/>
      <c r="G291" s="6" t="s">
        <v>885</v>
      </c>
      <c r="H291" s="7" t="s">
        <v>885</v>
      </c>
      <c r="I291" s="7" t="s">
        <v>885</v>
      </c>
      <c r="K291" t="str">
        <f>IF(Tabela1[[#This Row],[Último PV]]&lt;&gt;"","Sim","Nao")</f>
        <v>Nao</v>
      </c>
      <c r="L291" s="9" t="s">
        <v>885</v>
      </c>
    </row>
    <row r="292" spans="1:12" x14ac:dyDescent="0.25">
      <c r="A292" t="s">
        <v>468</v>
      </c>
      <c r="B292" t="s">
        <v>641</v>
      </c>
      <c r="C292" t="s">
        <v>603</v>
      </c>
      <c r="D292" t="s">
        <v>854</v>
      </c>
      <c r="E292" s="4"/>
      <c r="F292" s="4"/>
      <c r="G292" s="6" t="s">
        <v>885</v>
      </c>
      <c r="H292" s="7" t="s">
        <v>885</v>
      </c>
      <c r="I292" s="7" t="s">
        <v>885</v>
      </c>
      <c r="K292" t="str">
        <f>IF(Tabela1[[#This Row],[Último PV]]&lt;&gt;"","Sim","Nao")</f>
        <v>Nao</v>
      </c>
      <c r="L292" s="9" t="s">
        <v>885</v>
      </c>
    </row>
    <row r="293" spans="1:12" x14ac:dyDescent="0.25">
      <c r="A293" t="s">
        <v>468</v>
      </c>
      <c r="B293" t="s">
        <v>642</v>
      </c>
      <c r="C293" t="s">
        <v>604</v>
      </c>
      <c r="D293" t="s">
        <v>857</v>
      </c>
      <c r="E293" s="4"/>
      <c r="F293" s="4"/>
      <c r="G293" s="6" t="s">
        <v>885</v>
      </c>
      <c r="H293" s="7" t="s">
        <v>885</v>
      </c>
      <c r="I293" s="7" t="s">
        <v>885</v>
      </c>
      <c r="K293" t="str">
        <f>IF(Tabela1[[#This Row],[Último PV]]&lt;&gt;"","Sim","Nao")</f>
        <v>Nao</v>
      </c>
      <c r="L293" s="9" t="s">
        <v>885</v>
      </c>
    </row>
    <row r="294" spans="1:12" x14ac:dyDescent="0.25">
      <c r="A294" t="s">
        <v>468</v>
      </c>
      <c r="B294" t="s">
        <v>643</v>
      </c>
      <c r="C294" t="s">
        <v>605</v>
      </c>
      <c r="D294" t="s">
        <v>858</v>
      </c>
      <c r="E294" s="4"/>
      <c r="F294" s="4"/>
      <c r="G294" s="6" t="s">
        <v>885</v>
      </c>
      <c r="H294" s="7" t="s">
        <v>885</v>
      </c>
      <c r="I294" s="7" t="s">
        <v>885</v>
      </c>
      <c r="K294" t="str">
        <f>IF(Tabela1[[#This Row],[Último PV]]&lt;&gt;"","Sim","Nao")</f>
        <v>Nao</v>
      </c>
      <c r="L294" s="9" t="s">
        <v>885</v>
      </c>
    </row>
    <row r="295" spans="1:12" x14ac:dyDescent="0.25">
      <c r="A295" t="s">
        <v>468</v>
      </c>
      <c r="B295" t="s">
        <v>640</v>
      </c>
      <c r="C295" t="s">
        <v>602</v>
      </c>
      <c r="D295" t="s">
        <v>872</v>
      </c>
      <c r="E295" s="4"/>
      <c r="F295" s="4"/>
      <c r="G295" s="6">
        <v>10249</v>
      </c>
      <c r="H295" s="7">
        <v>45989</v>
      </c>
      <c r="I295" s="7" t="s">
        <v>884</v>
      </c>
      <c r="K295" t="str">
        <f>IF(Tabela1[[#This Row],[Último PV]]&lt;&gt;"","Sim","Nao")</f>
        <v>Sim</v>
      </c>
      <c r="L295" s="9">
        <v>82000</v>
      </c>
    </row>
    <row r="296" spans="1:12" x14ac:dyDescent="0.25">
      <c r="A296" t="s">
        <v>468</v>
      </c>
      <c r="B296" t="s">
        <v>645</v>
      </c>
      <c r="C296" t="s">
        <v>861</v>
      </c>
      <c r="D296" t="s">
        <v>860</v>
      </c>
      <c r="E296" s="4"/>
      <c r="F296" s="4"/>
      <c r="G296" s="6" t="s">
        <v>885</v>
      </c>
      <c r="H296" s="7" t="s">
        <v>885</v>
      </c>
      <c r="I296" s="7" t="s">
        <v>885</v>
      </c>
      <c r="K296" t="str">
        <f>IF(Tabela1[[#This Row],[Último PV]]&lt;&gt;"","Sim","Nao")</f>
        <v>Nao</v>
      </c>
      <c r="L296" s="9" t="s">
        <v>885</v>
      </c>
    </row>
    <row r="297" spans="1:12" x14ac:dyDescent="0.25">
      <c r="A297" t="s">
        <v>468</v>
      </c>
      <c r="B297" t="s">
        <v>646</v>
      </c>
      <c r="C297" t="s">
        <v>607</v>
      </c>
      <c r="D297" t="s">
        <v>871</v>
      </c>
      <c r="E297" s="4"/>
      <c r="F297" s="4"/>
      <c r="G297" s="6" t="s">
        <v>885</v>
      </c>
      <c r="H297" s="7" t="s">
        <v>885</v>
      </c>
      <c r="I297" s="7" t="s">
        <v>885</v>
      </c>
      <c r="K297" t="str">
        <f>IF(Tabela1[[#This Row],[Último PV]]&lt;&gt;"","Sim","Nao")</f>
        <v>Nao</v>
      </c>
      <c r="L297" s="9" t="s">
        <v>885</v>
      </c>
    </row>
    <row r="298" spans="1:12" x14ac:dyDescent="0.25">
      <c r="A298" t="s">
        <v>468</v>
      </c>
      <c r="B298" t="s">
        <v>644</v>
      </c>
      <c r="C298" t="s">
        <v>606</v>
      </c>
      <c r="E298" s="4"/>
      <c r="F298" s="4"/>
      <c r="G298" s="6" t="s">
        <v>885</v>
      </c>
      <c r="H298" s="7" t="s">
        <v>885</v>
      </c>
      <c r="I298" s="7" t="s">
        <v>885</v>
      </c>
      <c r="K298" t="str">
        <f>IF(Tabela1[[#This Row],[Último PV]]&lt;&gt;"","Sim","Nao")</f>
        <v>Nao</v>
      </c>
      <c r="L298" s="9" t="s">
        <v>885</v>
      </c>
    </row>
    <row r="299" spans="1:12" x14ac:dyDescent="0.25">
      <c r="A299" t="s">
        <v>468</v>
      </c>
      <c r="B299" t="s">
        <v>661</v>
      </c>
      <c r="C299" t="s">
        <v>622</v>
      </c>
      <c r="E299" s="4"/>
      <c r="F299" s="4"/>
      <c r="G299" s="6" t="s">
        <v>885</v>
      </c>
      <c r="H299" s="7" t="s">
        <v>885</v>
      </c>
      <c r="I299" s="7" t="s">
        <v>885</v>
      </c>
      <c r="K299" t="str">
        <f>IF(Tabela1[[#This Row],[Último PV]]&lt;&gt;"","Sim","Nao")</f>
        <v>Nao</v>
      </c>
      <c r="L299" s="9" t="s">
        <v>885</v>
      </c>
    </row>
    <row r="300" spans="1:12" x14ac:dyDescent="0.25">
      <c r="A300" t="s">
        <v>468</v>
      </c>
      <c r="B300" t="s">
        <v>649</v>
      </c>
      <c r="C300" t="s">
        <v>610</v>
      </c>
      <c r="D300" t="s">
        <v>865</v>
      </c>
      <c r="E300" s="4"/>
      <c r="F300" s="4"/>
      <c r="G300" s="6" t="s">
        <v>885</v>
      </c>
      <c r="H300" s="7" t="s">
        <v>885</v>
      </c>
      <c r="I300" s="7" t="s">
        <v>885</v>
      </c>
      <c r="K300" t="str">
        <f>IF(Tabela1[[#This Row],[Último PV]]&lt;&gt;"","Sim","Nao")</f>
        <v>Nao</v>
      </c>
      <c r="L300" s="9" t="s">
        <v>885</v>
      </c>
    </row>
    <row r="301" spans="1:12" x14ac:dyDescent="0.25">
      <c r="A301" t="s">
        <v>468</v>
      </c>
      <c r="B301" t="s">
        <v>650</v>
      </c>
      <c r="C301" t="s">
        <v>611</v>
      </c>
      <c r="D301" t="s">
        <v>859</v>
      </c>
      <c r="E301" s="4"/>
      <c r="F301" s="4"/>
      <c r="G301" s="6" t="s">
        <v>885</v>
      </c>
      <c r="H301" s="7" t="s">
        <v>885</v>
      </c>
      <c r="I301" s="7" t="s">
        <v>885</v>
      </c>
      <c r="K301" t="str">
        <f>IF(Tabela1[[#This Row],[Último PV]]&lt;&gt;"","Sim","Nao")</f>
        <v>Nao</v>
      </c>
      <c r="L301" s="9" t="s">
        <v>885</v>
      </c>
    </row>
    <row r="302" spans="1:12" x14ac:dyDescent="0.25">
      <c r="A302" t="s">
        <v>468</v>
      </c>
      <c r="B302" t="s">
        <v>651</v>
      </c>
      <c r="C302" t="s">
        <v>612</v>
      </c>
      <c r="D302" t="s">
        <v>867</v>
      </c>
      <c r="E302" s="4"/>
      <c r="F302" s="4"/>
      <c r="G302" s="6">
        <v>9136</v>
      </c>
      <c r="H302" s="7">
        <v>45791</v>
      </c>
      <c r="I302" s="7" t="s">
        <v>884</v>
      </c>
      <c r="J302" t="s">
        <v>879</v>
      </c>
      <c r="K302" t="str">
        <f>IF(Tabela1[[#This Row],[Último PV]]&lt;&gt;"","Sim","Nao")</f>
        <v>Sim</v>
      </c>
      <c r="L302" s="9">
        <v>3199.22</v>
      </c>
    </row>
    <row r="303" spans="1:12" x14ac:dyDescent="0.25">
      <c r="A303" t="s">
        <v>468</v>
      </c>
      <c r="B303" t="s">
        <v>652</v>
      </c>
      <c r="C303" t="s">
        <v>613</v>
      </c>
      <c r="D303" t="s">
        <v>866</v>
      </c>
      <c r="E303" s="4"/>
      <c r="F303" s="4"/>
      <c r="G303" s="6" t="s">
        <v>885</v>
      </c>
      <c r="H303" s="7" t="s">
        <v>885</v>
      </c>
      <c r="I303" s="7" t="s">
        <v>885</v>
      </c>
      <c r="K303" t="str">
        <f>IF(Tabela1[[#This Row],[Último PV]]&lt;&gt;"","Sim","Nao")</f>
        <v>Nao</v>
      </c>
      <c r="L303" s="9" t="s">
        <v>885</v>
      </c>
    </row>
    <row r="304" spans="1:12" x14ac:dyDescent="0.25">
      <c r="A304" t="s">
        <v>468</v>
      </c>
      <c r="B304" t="s">
        <v>653</v>
      </c>
      <c r="C304" t="s">
        <v>614</v>
      </c>
      <c r="D304" t="s">
        <v>844</v>
      </c>
      <c r="E304" s="4"/>
      <c r="F304" s="4"/>
      <c r="G304" s="6" t="s">
        <v>885</v>
      </c>
      <c r="H304" s="7" t="s">
        <v>885</v>
      </c>
      <c r="I304" s="7" t="s">
        <v>885</v>
      </c>
      <c r="K304" t="str">
        <f>IF(Tabela1[[#This Row],[Último PV]]&lt;&gt;"","Sim","Nao")</f>
        <v>Nao</v>
      </c>
      <c r="L304" s="9" t="s">
        <v>885</v>
      </c>
    </row>
    <row r="305" spans="1:12" x14ac:dyDescent="0.25">
      <c r="A305" t="s">
        <v>468</v>
      </c>
      <c r="B305" t="s">
        <v>654</v>
      </c>
      <c r="C305" t="s">
        <v>615</v>
      </c>
      <c r="D305" t="s">
        <v>862</v>
      </c>
      <c r="E305" s="4"/>
      <c r="F305" s="4"/>
      <c r="G305" s="6" t="s">
        <v>885</v>
      </c>
      <c r="H305" s="7" t="s">
        <v>885</v>
      </c>
      <c r="I305" s="7" t="s">
        <v>885</v>
      </c>
      <c r="K305" t="str">
        <f>IF(Tabela1[[#This Row],[Último PV]]&lt;&gt;"","Sim","Nao")</f>
        <v>Nao</v>
      </c>
      <c r="L305" s="9" t="s">
        <v>885</v>
      </c>
    </row>
    <row r="306" spans="1:12" x14ac:dyDescent="0.25">
      <c r="A306" t="s">
        <v>468</v>
      </c>
      <c r="B306" t="s">
        <v>655</v>
      </c>
      <c r="C306" t="s">
        <v>616</v>
      </c>
      <c r="D306" t="s">
        <v>850</v>
      </c>
      <c r="E306" s="4"/>
      <c r="F306" s="4"/>
      <c r="G306" s="6" t="s">
        <v>885</v>
      </c>
      <c r="H306" s="7" t="s">
        <v>885</v>
      </c>
      <c r="I306" s="7" t="s">
        <v>885</v>
      </c>
      <c r="K306" t="str">
        <f>IF(Tabela1[[#This Row],[Último PV]]&lt;&gt;"","Sim","Nao")</f>
        <v>Nao</v>
      </c>
      <c r="L306" s="9" t="s">
        <v>885</v>
      </c>
    </row>
    <row r="307" spans="1:12" x14ac:dyDescent="0.25">
      <c r="A307" t="s">
        <v>468</v>
      </c>
      <c r="B307" t="s">
        <v>656</v>
      </c>
      <c r="C307" t="s">
        <v>617</v>
      </c>
      <c r="D307" t="s">
        <v>847</v>
      </c>
      <c r="E307" s="4"/>
      <c r="F307" s="4"/>
      <c r="G307" s="6" t="s">
        <v>885</v>
      </c>
      <c r="H307" s="7" t="s">
        <v>885</v>
      </c>
      <c r="I307" s="7" t="s">
        <v>885</v>
      </c>
      <c r="K307" t="str">
        <f>IF(Tabela1[[#This Row],[Último PV]]&lt;&gt;"","Sim","Nao")</f>
        <v>Nao</v>
      </c>
      <c r="L307" s="9" t="s">
        <v>885</v>
      </c>
    </row>
    <row r="308" spans="1:12" x14ac:dyDescent="0.25">
      <c r="A308" t="s">
        <v>468</v>
      </c>
      <c r="B308" t="s">
        <v>637</v>
      </c>
      <c r="C308" t="s">
        <v>600</v>
      </c>
      <c r="E308" s="4"/>
      <c r="F308" s="4"/>
      <c r="G308" s="6" t="s">
        <v>885</v>
      </c>
      <c r="H308" s="7" t="s">
        <v>885</v>
      </c>
      <c r="I308" s="7" t="s">
        <v>885</v>
      </c>
      <c r="K308" t="str">
        <f>IF(Tabela1[[#This Row],[Último PV]]&lt;&gt;"","Sim","Nao")</f>
        <v>Nao</v>
      </c>
      <c r="L308" s="9" t="s">
        <v>885</v>
      </c>
    </row>
    <row r="309" spans="1:12" x14ac:dyDescent="0.25">
      <c r="A309" t="s">
        <v>468</v>
      </c>
      <c r="B309" t="s">
        <v>636</v>
      </c>
      <c r="C309" t="s">
        <v>599</v>
      </c>
      <c r="E309" s="4"/>
      <c r="F309" s="4"/>
      <c r="G309" s="6" t="s">
        <v>885</v>
      </c>
      <c r="H309" s="7" t="s">
        <v>885</v>
      </c>
      <c r="I309" s="7" t="s">
        <v>885</v>
      </c>
      <c r="K309" t="str">
        <f>IF(Tabela1[[#This Row],[Último PV]]&lt;&gt;"","Sim","Nao")</f>
        <v>Nao</v>
      </c>
      <c r="L309" s="9" t="s">
        <v>885</v>
      </c>
    </row>
    <row r="310" spans="1:12" x14ac:dyDescent="0.25">
      <c r="A310" t="s">
        <v>468</v>
      </c>
      <c r="B310" t="s">
        <v>659</v>
      </c>
      <c r="C310" t="s">
        <v>620</v>
      </c>
      <c r="D310" t="s">
        <v>870</v>
      </c>
      <c r="E310" s="4"/>
      <c r="F310" s="4"/>
      <c r="G310" s="6" t="s">
        <v>885</v>
      </c>
      <c r="H310" s="7" t="s">
        <v>885</v>
      </c>
      <c r="I310" s="7" t="s">
        <v>885</v>
      </c>
      <c r="K310" t="str">
        <f>IF(Tabela1[[#This Row],[Último PV]]&lt;&gt;"","Sim","Nao")</f>
        <v>Nao</v>
      </c>
      <c r="L310" s="9" t="s">
        <v>885</v>
      </c>
    </row>
    <row r="311" spans="1:12" x14ac:dyDescent="0.25">
      <c r="A311" t="s">
        <v>468</v>
      </c>
      <c r="B311" t="s">
        <v>647</v>
      </c>
      <c r="C311" t="s">
        <v>608</v>
      </c>
      <c r="E311" s="4"/>
      <c r="F311" s="4"/>
      <c r="G311" s="6" t="s">
        <v>885</v>
      </c>
      <c r="H311" s="7" t="s">
        <v>885</v>
      </c>
      <c r="I311" s="7" t="s">
        <v>885</v>
      </c>
      <c r="K311" t="str">
        <f>IF(Tabela1[[#This Row],[Último PV]]&lt;&gt;"","Sim","Nao")</f>
        <v>Nao</v>
      </c>
      <c r="L311" s="9" t="s">
        <v>885</v>
      </c>
    </row>
    <row r="312" spans="1:12" x14ac:dyDescent="0.25">
      <c r="A312" t="s">
        <v>468</v>
      </c>
      <c r="B312" t="s">
        <v>660</v>
      </c>
      <c r="C312" t="s">
        <v>621</v>
      </c>
      <c r="E312" s="4"/>
      <c r="F312" s="4"/>
      <c r="G312" s="6" t="s">
        <v>885</v>
      </c>
      <c r="H312" s="7" t="s">
        <v>885</v>
      </c>
      <c r="I312" s="7" t="s">
        <v>885</v>
      </c>
      <c r="K312" t="str">
        <f>IF(Tabela1[[#This Row],[Último PV]]&lt;&gt;"","Sim","Nao")</f>
        <v>Nao</v>
      </c>
      <c r="L312" s="9" t="s">
        <v>885</v>
      </c>
    </row>
    <row r="313" spans="1:12" x14ac:dyDescent="0.25">
      <c r="A313" t="s">
        <v>468</v>
      </c>
      <c r="B313" t="s">
        <v>662</v>
      </c>
      <c r="C313" t="s">
        <v>663</v>
      </c>
      <c r="D313" t="s">
        <v>786</v>
      </c>
      <c r="E313" s="4"/>
      <c r="F313" s="4"/>
      <c r="G313" s="6" t="s">
        <v>885</v>
      </c>
      <c r="H313" s="7" t="s">
        <v>885</v>
      </c>
      <c r="I313" s="7" t="s">
        <v>885</v>
      </c>
      <c r="K313" t="str">
        <f>IF(Tabela1[[#This Row],[Último PV]]&lt;&gt;"","Sim","Nao")</f>
        <v>Nao</v>
      </c>
      <c r="L313" s="9" t="s">
        <v>885</v>
      </c>
    </row>
    <row r="314" spans="1:12" x14ac:dyDescent="0.25">
      <c r="A314" t="s">
        <v>468</v>
      </c>
      <c r="B314" t="s">
        <v>664</v>
      </c>
      <c r="C314" t="s">
        <v>773</v>
      </c>
      <c r="D314" t="s">
        <v>774</v>
      </c>
      <c r="E314" s="4"/>
      <c r="F314" s="4"/>
      <c r="G314" s="6">
        <v>5492</v>
      </c>
      <c r="H314" s="7">
        <v>44890</v>
      </c>
      <c r="I314" s="7" t="s">
        <v>884</v>
      </c>
      <c r="J314" t="s">
        <v>879</v>
      </c>
      <c r="K314" t="str">
        <f>IF(Tabela1[[#This Row],[Último PV]]&lt;&gt;"","Sim","Nao")</f>
        <v>Sim</v>
      </c>
      <c r="L314" s="9">
        <v>0</v>
      </c>
    </row>
    <row r="315" spans="1:12" x14ac:dyDescent="0.25">
      <c r="A315" t="s">
        <v>468</v>
      </c>
      <c r="B315" t="s">
        <v>666</v>
      </c>
      <c r="C315" t="s">
        <v>665</v>
      </c>
      <c r="D315" t="s">
        <v>771</v>
      </c>
      <c r="E315" s="4"/>
      <c r="F315" s="4"/>
      <c r="G315" s="6">
        <v>5014</v>
      </c>
      <c r="H315" s="7">
        <v>44733</v>
      </c>
      <c r="I315" s="7" t="s">
        <v>884</v>
      </c>
      <c r="K315" t="str">
        <f>IF(Tabela1[[#This Row],[Último PV]]&lt;&gt;"","Sim","Nao")</f>
        <v>Sim</v>
      </c>
      <c r="L315" s="9">
        <v>0</v>
      </c>
    </row>
    <row r="316" spans="1:12" x14ac:dyDescent="0.25">
      <c r="A316" t="s">
        <v>468</v>
      </c>
      <c r="B316" t="s">
        <v>668</v>
      </c>
      <c r="C316" t="s">
        <v>667</v>
      </c>
      <c r="D316" t="s">
        <v>768</v>
      </c>
      <c r="E316" s="4"/>
      <c r="F316" s="4"/>
      <c r="G316" s="6">
        <v>8883</v>
      </c>
      <c r="H316" s="7">
        <v>45744</v>
      </c>
      <c r="I316" s="7" t="s">
        <v>884</v>
      </c>
      <c r="J316" t="s">
        <v>883</v>
      </c>
      <c r="K316" t="str">
        <f>IF(Tabela1[[#This Row],[Último PV]]&lt;&gt;"","Sim","Nao")</f>
        <v>Sim</v>
      </c>
      <c r="L316" s="9">
        <v>59539.76</v>
      </c>
    </row>
    <row r="317" spans="1:12" x14ac:dyDescent="0.25">
      <c r="A317" t="s">
        <v>468</v>
      </c>
      <c r="B317" t="s">
        <v>669</v>
      </c>
      <c r="C317" t="s">
        <v>670</v>
      </c>
      <c r="D317" t="s">
        <v>787</v>
      </c>
      <c r="E317" s="4"/>
      <c r="F317" s="4"/>
      <c r="G317" s="6" t="s">
        <v>885</v>
      </c>
      <c r="H317" s="7" t="s">
        <v>885</v>
      </c>
      <c r="I317" s="7" t="s">
        <v>885</v>
      </c>
      <c r="K317" t="str">
        <f>IF(Tabela1[[#This Row],[Último PV]]&lt;&gt;"","Sim","Nao")</f>
        <v>Nao</v>
      </c>
      <c r="L317" s="9" t="s">
        <v>885</v>
      </c>
    </row>
    <row r="318" spans="1:12" x14ac:dyDescent="0.25">
      <c r="A318" t="s">
        <v>468</v>
      </c>
      <c r="B318" t="s">
        <v>672</v>
      </c>
      <c r="C318" t="s">
        <v>671</v>
      </c>
      <c r="D318" t="s">
        <v>788</v>
      </c>
      <c r="E318" s="4"/>
      <c r="F318" s="4"/>
      <c r="G318" s="6" t="s">
        <v>885</v>
      </c>
      <c r="H318" s="7" t="s">
        <v>885</v>
      </c>
      <c r="I318" s="7" t="s">
        <v>885</v>
      </c>
      <c r="K318" t="str">
        <f>IF(Tabela1[[#This Row],[Último PV]]&lt;&gt;"","Sim","Nao")</f>
        <v>Nao</v>
      </c>
      <c r="L318" s="9" t="s">
        <v>885</v>
      </c>
    </row>
    <row r="319" spans="1:12" x14ac:dyDescent="0.25">
      <c r="A319" t="s">
        <v>468</v>
      </c>
      <c r="B319" t="s">
        <v>674</v>
      </c>
      <c r="C319" t="s">
        <v>673</v>
      </c>
      <c r="D319" t="s">
        <v>770</v>
      </c>
      <c r="E319" s="4"/>
      <c r="F319" s="4"/>
      <c r="G319" s="6" t="s">
        <v>885</v>
      </c>
      <c r="H319" s="7" t="s">
        <v>885</v>
      </c>
      <c r="I319" s="7" t="s">
        <v>885</v>
      </c>
      <c r="K319" t="str">
        <f>IF(Tabela1[[#This Row],[Último PV]]&lt;&gt;"","Sim","Nao")</f>
        <v>Nao</v>
      </c>
      <c r="L319" s="9" t="s">
        <v>885</v>
      </c>
    </row>
    <row r="320" spans="1:12" x14ac:dyDescent="0.25">
      <c r="A320" t="s">
        <v>468</v>
      </c>
      <c r="B320" t="s">
        <v>676</v>
      </c>
      <c r="C320" t="s">
        <v>675</v>
      </c>
      <c r="D320" t="s">
        <v>769</v>
      </c>
      <c r="E320" s="4"/>
      <c r="F320" s="4"/>
      <c r="G320" s="6" t="s">
        <v>885</v>
      </c>
      <c r="H320" s="7" t="s">
        <v>885</v>
      </c>
      <c r="I320" s="7" t="s">
        <v>885</v>
      </c>
      <c r="K320" t="str">
        <f>IF(Tabela1[[#This Row],[Último PV]]&lt;&gt;"","Sim","Nao")</f>
        <v>Nao</v>
      </c>
      <c r="L320" s="9" t="s">
        <v>885</v>
      </c>
    </row>
    <row r="321" spans="1:12" x14ac:dyDescent="0.25">
      <c r="A321" t="s">
        <v>468</v>
      </c>
      <c r="B321" t="s">
        <v>678</v>
      </c>
      <c r="C321" t="s">
        <v>677</v>
      </c>
      <c r="D321" t="s">
        <v>772</v>
      </c>
      <c r="E321" s="4"/>
      <c r="F321" s="4"/>
      <c r="G321" s="6">
        <v>5084</v>
      </c>
      <c r="H321" s="7">
        <v>44760</v>
      </c>
      <c r="I321" s="7" t="s">
        <v>884</v>
      </c>
      <c r="K321" t="str">
        <f>IF(Tabela1[[#This Row],[Último PV]]&lt;&gt;"","Sim","Nao")</f>
        <v>Sim</v>
      </c>
      <c r="L321" s="9">
        <v>0</v>
      </c>
    </row>
    <row r="322" spans="1:12" x14ac:dyDescent="0.25">
      <c r="A322" t="s">
        <v>468</v>
      </c>
      <c r="B322" t="s">
        <v>680</v>
      </c>
      <c r="C322" t="s">
        <v>679</v>
      </c>
      <c r="D322" t="s">
        <v>829</v>
      </c>
      <c r="E322" s="4"/>
      <c r="F322" s="4"/>
      <c r="G322" s="6">
        <v>5621</v>
      </c>
      <c r="H322" s="7">
        <v>44944</v>
      </c>
      <c r="I322" s="7" t="s">
        <v>884</v>
      </c>
      <c r="J322" t="s">
        <v>879</v>
      </c>
      <c r="K322" t="str">
        <f>IF(Tabela1[[#This Row],[Último PV]]&lt;&gt;"","Sim","Nao")</f>
        <v>Sim</v>
      </c>
      <c r="L322" s="9">
        <v>3234.83</v>
      </c>
    </row>
    <row r="323" spans="1:12" x14ac:dyDescent="0.25">
      <c r="A323" t="s">
        <v>468</v>
      </c>
      <c r="B323" t="s">
        <v>681</v>
      </c>
      <c r="C323" t="s">
        <v>684</v>
      </c>
      <c r="D323" t="s">
        <v>775</v>
      </c>
      <c r="E323" s="4"/>
      <c r="F323" s="4"/>
      <c r="G323" s="6" t="s">
        <v>885</v>
      </c>
      <c r="H323" s="7" t="s">
        <v>885</v>
      </c>
      <c r="I323" s="7" t="s">
        <v>885</v>
      </c>
      <c r="K323" t="str">
        <f>IF(Tabela1[[#This Row],[Último PV]]&lt;&gt;"","Sim","Nao")</f>
        <v>Nao</v>
      </c>
      <c r="L323" s="9" t="s">
        <v>885</v>
      </c>
    </row>
    <row r="324" spans="1:12" x14ac:dyDescent="0.25">
      <c r="A324" t="s">
        <v>468</v>
      </c>
      <c r="B324" t="s">
        <v>682</v>
      </c>
      <c r="C324" t="s">
        <v>685</v>
      </c>
      <c r="D324" t="s">
        <v>776</v>
      </c>
      <c r="E324" s="4"/>
      <c r="F324" s="4"/>
      <c r="G324" s="6">
        <v>30</v>
      </c>
      <c r="H324" s="7">
        <v>42796</v>
      </c>
      <c r="I324" s="7" t="e">
        <v>#N/A</v>
      </c>
      <c r="K324" t="str">
        <f>IF(Tabela1[[#This Row],[Último PV]]&lt;&gt;"","Sim","Nao")</f>
        <v>Sim</v>
      </c>
      <c r="L324" s="9">
        <v>2757.8</v>
      </c>
    </row>
    <row r="325" spans="1:12" x14ac:dyDescent="0.25">
      <c r="A325" t="s">
        <v>468</v>
      </c>
      <c r="B325" t="s">
        <v>762</v>
      </c>
      <c r="C325" t="s">
        <v>683</v>
      </c>
      <c r="D325" t="s">
        <v>777</v>
      </c>
      <c r="E325" s="4"/>
      <c r="F325" s="4"/>
      <c r="G325" s="6" t="s">
        <v>885</v>
      </c>
      <c r="H325" s="7" t="s">
        <v>885</v>
      </c>
      <c r="I325" s="7" t="s">
        <v>885</v>
      </c>
      <c r="K325" t="str">
        <f>IF(Tabela1[[#This Row],[Último PV]]&lt;&gt;"","Sim","Nao")</f>
        <v>Nao</v>
      </c>
      <c r="L325" s="9" t="s">
        <v>885</v>
      </c>
    </row>
    <row r="326" spans="1:12" x14ac:dyDescent="0.25">
      <c r="A326" t="s">
        <v>468</v>
      </c>
      <c r="B326" t="s">
        <v>686</v>
      </c>
      <c r="C326" t="s">
        <v>832</v>
      </c>
      <c r="D326" t="s">
        <v>833</v>
      </c>
      <c r="E326" s="4"/>
      <c r="F326" s="4"/>
      <c r="G326" s="6">
        <v>10080</v>
      </c>
      <c r="H326" s="7">
        <v>45954</v>
      </c>
      <c r="I326" s="7" t="s">
        <v>884</v>
      </c>
      <c r="J326" t="s">
        <v>883</v>
      </c>
      <c r="K326" t="str">
        <f>IF(Tabela1[[#This Row],[Último PV]]&lt;&gt;"","Sim","Nao")</f>
        <v>Sim</v>
      </c>
      <c r="L326" s="9">
        <v>3900.78</v>
      </c>
    </row>
    <row r="327" spans="1:12" x14ac:dyDescent="0.25">
      <c r="A327" t="s">
        <v>468</v>
      </c>
      <c r="B327" t="s">
        <v>688</v>
      </c>
      <c r="C327" t="s">
        <v>687</v>
      </c>
      <c r="D327" t="s">
        <v>834</v>
      </c>
      <c r="E327" s="4"/>
      <c r="F327" s="4"/>
      <c r="G327" s="6">
        <v>10075</v>
      </c>
      <c r="H327" s="7">
        <v>45954</v>
      </c>
      <c r="I327" s="7" t="s">
        <v>884</v>
      </c>
      <c r="J327" t="s">
        <v>883</v>
      </c>
      <c r="K327" t="str">
        <f>IF(Tabela1[[#This Row],[Último PV]]&lt;&gt;"","Sim","Nao")</f>
        <v>Sim</v>
      </c>
      <c r="L327" s="9">
        <v>4567.9799999999996</v>
      </c>
    </row>
    <row r="328" spans="1:12" x14ac:dyDescent="0.25">
      <c r="A328" t="s">
        <v>468</v>
      </c>
      <c r="B328" t="s">
        <v>690</v>
      </c>
      <c r="C328" t="s">
        <v>689</v>
      </c>
      <c r="D328" t="s">
        <v>838</v>
      </c>
      <c r="E328" s="4"/>
      <c r="F328" s="4"/>
      <c r="G328" s="6">
        <v>10081</v>
      </c>
      <c r="H328" s="7">
        <v>45954</v>
      </c>
      <c r="I328" s="7" t="s">
        <v>884</v>
      </c>
      <c r="J328" t="s">
        <v>883</v>
      </c>
      <c r="K328" t="str">
        <f>IF(Tabela1[[#This Row],[Último PV]]&lt;&gt;"","Sim","Nao")</f>
        <v>Sim</v>
      </c>
      <c r="L328" s="9">
        <v>1515.52</v>
      </c>
    </row>
    <row r="329" spans="1:12" x14ac:dyDescent="0.25">
      <c r="A329" t="s">
        <v>468</v>
      </c>
      <c r="B329" t="s">
        <v>692</v>
      </c>
      <c r="C329" t="s">
        <v>691</v>
      </c>
      <c r="D329" t="s">
        <v>837</v>
      </c>
      <c r="E329" s="4"/>
      <c r="F329" s="4"/>
      <c r="G329" s="6" t="s">
        <v>885</v>
      </c>
      <c r="H329" s="7" t="s">
        <v>885</v>
      </c>
      <c r="I329" s="7" t="s">
        <v>885</v>
      </c>
      <c r="K329" t="str">
        <f>IF(Tabela1[[#This Row],[Último PV]]&lt;&gt;"","Sim","Nao")</f>
        <v>Nao</v>
      </c>
      <c r="L329" s="9" t="s">
        <v>885</v>
      </c>
    </row>
    <row r="330" spans="1:12" x14ac:dyDescent="0.25">
      <c r="A330" t="s">
        <v>468</v>
      </c>
      <c r="B330" t="s">
        <v>694</v>
      </c>
      <c r="C330" t="s">
        <v>693</v>
      </c>
      <c r="D330" t="s">
        <v>835</v>
      </c>
      <c r="E330" s="4"/>
      <c r="F330" s="4"/>
      <c r="G330" s="6" t="s">
        <v>885</v>
      </c>
      <c r="H330" s="7" t="s">
        <v>885</v>
      </c>
      <c r="I330" s="7" t="s">
        <v>885</v>
      </c>
      <c r="K330" t="str">
        <f>IF(Tabela1[[#This Row],[Último PV]]&lt;&gt;"","Sim","Nao")</f>
        <v>Nao</v>
      </c>
      <c r="L330" s="9" t="s">
        <v>885</v>
      </c>
    </row>
    <row r="331" spans="1:12" x14ac:dyDescent="0.25">
      <c r="A331" t="s">
        <v>468</v>
      </c>
      <c r="B331" t="s">
        <v>696</v>
      </c>
      <c r="C331" t="s">
        <v>695</v>
      </c>
      <c r="D331" t="s">
        <v>841</v>
      </c>
      <c r="E331" s="4"/>
      <c r="F331" s="4"/>
      <c r="G331" s="6">
        <v>10076</v>
      </c>
      <c r="H331" s="7">
        <v>45954</v>
      </c>
      <c r="I331" s="7" t="s">
        <v>884</v>
      </c>
      <c r="J331" t="s">
        <v>883</v>
      </c>
      <c r="K331" t="str">
        <f>IF(Tabela1[[#This Row],[Último PV]]&lt;&gt;"","Sim","Nao")</f>
        <v>Sim</v>
      </c>
      <c r="L331" s="9">
        <v>3755.01</v>
      </c>
    </row>
    <row r="332" spans="1:12" x14ac:dyDescent="0.25">
      <c r="A332" t="s">
        <v>468</v>
      </c>
      <c r="B332" t="s">
        <v>698</v>
      </c>
      <c r="C332" t="s">
        <v>697</v>
      </c>
      <c r="D332" t="s">
        <v>840</v>
      </c>
      <c r="E332" s="4"/>
      <c r="F332" s="4"/>
      <c r="G332" s="6">
        <v>10077</v>
      </c>
      <c r="H332" s="7">
        <v>45954</v>
      </c>
      <c r="I332" s="7" t="s">
        <v>884</v>
      </c>
      <c r="J332" t="s">
        <v>883</v>
      </c>
      <c r="K332" t="str">
        <f>IF(Tabela1[[#This Row],[Último PV]]&lt;&gt;"","Sim","Nao")</f>
        <v>Sim</v>
      </c>
      <c r="L332" s="9">
        <v>3315.28</v>
      </c>
    </row>
    <row r="333" spans="1:12" x14ac:dyDescent="0.25">
      <c r="A333" t="s">
        <v>468</v>
      </c>
      <c r="B333" t="s">
        <v>700</v>
      </c>
      <c r="C333" t="s">
        <v>699</v>
      </c>
      <c r="D333" t="s">
        <v>843</v>
      </c>
      <c r="E333" s="4"/>
      <c r="F333" s="4"/>
      <c r="G333" s="6">
        <v>10078</v>
      </c>
      <c r="H333" s="7">
        <v>45954</v>
      </c>
      <c r="I333" s="7" t="s">
        <v>884</v>
      </c>
      <c r="J333" t="s">
        <v>883</v>
      </c>
      <c r="K333" t="str">
        <f>IF(Tabela1[[#This Row],[Último PV]]&lt;&gt;"","Sim","Nao")</f>
        <v>Sim</v>
      </c>
      <c r="L333" s="9">
        <v>4754.59</v>
      </c>
    </row>
    <row r="334" spans="1:12" x14ac:dyDescent="0.25">
      <c r="A334" t="s">
        <v>468</v>
      </c>
      <c r="B334" t="s">
        <v>701</v>
      </c>
      <c r="C334" t="s">
        <v>702</v>
      </c>
      <c r="D334" t="s">
        <v>840</v>
      </c>
      <c r="E334" s="4"/>
      <c r="F334" s="4"/>
      <c r="G334" s="6">
        <v>10077</v>
      </c>
      <c r="H334" s="7">
        <v>45954</v>
      </c>
      <c r="I334" s="7" t="s">
        <v>884</v>
      </c>
      <c r="J334" t="s">
        <v>883</v>
      </c>
      <c r="K334" t="str">
        <f>IF(Tabela1[[#This Row],[Último PV]]&lt;&gt;"","Sim","Nao")</f>
        <v>Sim</v>
      </c>
      <c r="L334" s="9">
        <v>3315.28</v>
      </c>
    </row>
    <row r="335" spans="1:12" x14ac:dyDescent="0.25">
      <c r="A335" t="s">
        <v>468</v>
      </c>
      <c r="B335" t="s">
        <v>703</v>
      </c>
      <c r="C335" t="s">
        <v>831</v>
      </c>
      <c r="D335" t="s">
        <v>830</v>
      </c>
      <c r="E335" s="4"/>
      <c r="F335" s="4"/>
      <c r="G335" s="6">
        <v>10079</v>
      </c>
      <c r="H335" s="7">
        <v>45954</v>
      </c>
      <c r="I335" s="7" t="s">
        <v>884</v>
      </c>
      <c r="J335" t="s">
        <v>883</v>
      </c>
      <c r="K335" t="str">
        <f>IF(Tabela1[[#This Row],[Último PV]]&lt;&gt;"","Sim","Nao")</f>
        <v>Sim</v>
      </c>
      <c r="L335" s="9">
        <v>3540.35</v>
      </c>
    </row>
    <row r="336" spans="1:12" x14ac:dyDescent="0.25">
      <c r="A336" t="s">
        <v>468</v>
      </c>
      <c r="B336" t="s">
        <v>705</v>
      </c>
      <c r="C336" t="s">
        <v>704</v>
      </c>
      <c r="D336" t="s">
        <v>842</v>
      </c>
      <c r="E336" s="4"/>
      <c r="F336" s="4"/>
      <c r="G336" s="6" t="s">
        <v>885</v>
      </c>
      <c r="H336" s="7" t="s">
        <v>885</v>
      </c>
      <c r="I336" s="7" t="s">
        <v>885</v>
      </c>
      <c r="K336" t="str">
        <f>IF(Tabela1[[#This Row],[Último PV]]&lt;&gt;"","Sim","Nao")</f>
        <v>Nao</v>
      </c>
      <c r="L336" s="9" t="s">
        <v>885</v>
      </c>
    </row>
    <row r="337" spans="1:12" x14ac:dyDescent="0.25">
      <c r="A337" t="s">
        <v>468</v>
      </c>
      <c r="B337" t="s">
        <v>707</v>
      </c>
      <c r="C337" t="s">
        <v>706</v>
      </c>
      <c r="D337" t="s">
        <v>839</v>
      </c>
      <c r="E337" s="4"/>
      <c r="F337" s="4"/>
      <c r="G337" s="6" t="s">
        <v>885</v>
      </c>
      <c r="H337" s="7" t="s">
        <v>885</v>
      </c>
      <c r="I337" s="7" t="s">
        <v>885</v>
      </c>
      <c r="K337" t="str">
        <f>IF(Tabela1[[#This Row],[Último PV]]&lt;&gt;"","Sim","Nao")</f>
        <v>Nao</v>
      </c>
      <c r="L337" s="9" t="s">
        <v>885</v>
      </c>
    </row>
    <row r="338" spans="1:12" x14ac:dyDescent="0.25">
      <c r="A338" t="s">
        <v>468</v>
      </c>
      <c r="B338" t="s">
        <v>709</v>
      </c>
      <c r="C338" t="s">
        <v>708</v>
      </c>
      <c r="D338" t="s">
        <v>836</v>
      </c>
      <c r="E338" s="4"/>
      <c r="F338" s="4"/>
      <c r="G338" s="6">
        <v>9389</v>
      </c>
      <c r="H338" s="7">
        <v>45832</v>
      </c>
      <c r="I338" s="7" t="s">
        <v>884</v>
      </c>
      <c r="J338" t="s">
        <v>879</v>
      </c>
      <c r="K338" t="str">
        <f>IF(Tabela1[[#This Row],[Último PV]]&lt;&gt;"","Sim","Nao")</f>
        <v>Sim</v>
      </c>
      <c r="L338" s="9">
        <v>3332.19</v>
      </c>
    </row>
    <row r="339" spans="1:12" x14ac:dyDescent="0.25">
      <c r="A339" t="s">
        <v>468</v>
      </c>
      <c r="B339" t="s">
        <v>711</v>
      </c>
      <c r="C339" t="s">
        <v>710</v>
      </c>
      <c r="E339" s="4"/>
      <c r="F339" s="4"/>
      <c r="G339" s="6" t="s">
        <v>885</v>
      </c>
      <c r="H339" s="7" t="s">
        <v>885</v>
      </c>
      <c r="I339" s="7" t="s">
        <v>885</v>
      </c>
      <c r="K339" t="str">
        <f>IF(Tabela1[[#This Row],[Último PV]]&lt;&gt;"","Sim","Nao")</f>
        <v>Nao</v>
      </c>
      <c r="L339" s="9" t="s">
        <v>885</v>
      </c>
    </row>
    <row r="340" spans="1:12" x14ac:dyDescent="0.25">
      <c r="A340" t="s">
        <v>468</v>
      </c>
      <c r="B340" t="s">
        <v>712</v>
      </c>
      <c r="C340" t="s">
        <v>713</v>
      </c>
      <c r="E340" s="4"/>
      <c r="F340" s="4"/>
      <c r="G340" s="6" t="s">
        <v>885</v>
      </c>
      <c r="H340" s="7" t="s">
        <v>885</v>
      </c>
      <c r="I340" s="7" t="s">
        <v>885</v>
      </c>
      <c r="K340" t="str">
        <f>IF(Tabela1[[#This Row],[Último PV]]&lt;&gt;"","Sim","Nao")</f>
        <v>Nao</v>
      </c>
      <c r="L340" s="9" t="s">
        <v>885</v>
      </c>
    </row>
    <row r="341" spans="1:12" x14ac:dyDescent="0.25">
      <c r="A341" t="s">
        <v>468</v>
      </c>
      <c r="B341" t="s">
        <v>714</v>
      </c>
      <c r="C341" t="s">
        <v>715</v>
      </c>
      <c r="E341" s="4"/>
      <c r="F341" s="4"/>
      <c r="G341" s="6" t="s">
        <v>885</v>
      </c>
      <c r="H341" s="7" t="s">
        <v>885</v>
      </c>
      <c r="I341" s="7" t="s">
        <v>885</v>
      </c>
      <c r="K341" t="str">
        <f>IF(Tabela1[[#This Row],[Último PV]]&lt;&gt;"","Sim","Nao")</f>
        <v>Nao</v>
      </c>
      <c r="L341" s="9" t="s">
        <v>885</v>
      </c>
    </row>
    <row r="342" spans="1:12" x14ac:dyDescent="0.25">
      <c r="A342" t="s">
        <v>468</v>
      </c>
      <c r="B342" t="s">
        <v>716</v>
      </c>
      <c r="C342" t="s">
        <v>717</v>
      </c>
      <c r="E342" s="4"/>
      <c r="F342" s="4"/>
      <c r="G342" s="6" t="s">
        <v>885</v>
      </c>
      <c r="H342" s="7" t="s">
        <v>885</v>
      </c>
      <c r="I342" s="7" t="s">
        <v>885</v>
      </c>
      <c r="K342" t="str">
        <f>IF(Tabela1[[#This Row],[Último PV]]&lt;&gt;"","Sim","Nao")</f>
        <v>Nao</v>
      </c>
      <c r="L342" s="9" t="s">
        <v>885</v>
      </c>
    </row>
    <row r="343" spans="1:12" x14ac:dyDescent="0.25">
      <c r="A343" t="s">
        <v>468</v>
      </c>
      <c r="B343" t="s">
        <v>718</v>
      </c>
      <c r="C343" t="s">
        <v>719</v>
      </c>
      <c r="E343" s="4"/>
      <c r="F343" s="4"/>
      <c r="G343" s="6" t="s">
        <v>885</v>
      </c>
      <c r="H343" s="7" t="s">
        <v>885</v>
      </c>
      <c r="I343" s="7" t="s">
        <v>885</v>
      </c>
      <c r="K343" t="str">
        <f>IF(Tabela1[[#This Row],[Último PV]]&lt;&gt;"","Sim","Nao")</f>
        <v>Nao</v>
      </c>
      <c r="L343" s="9" t="s">
        <v>885</v>
      </c>
    </row>
    <row r="344" spans="1:12" x14ac:dyDescent="0.25">
      <c r="A344" t="s">
        <v>468</v>
      </c>
      <c r="B344" t="s">
        <v>720</v>
      </c>
      <c r="C344" t="s">
        <v>721</v>
      </c>
      <c r="E344" s="4"/>
      <c r="F344" s="4"/>
      <c r="G344" s="6" t="s">
        <v>885</v>
      </c>
      <c r="H344" s="7" t="s">
        <v>885</v>
      </c>
      <c r="I344" s="7" t="s">
        <v>885</v>
      </c>
      <c r="K344" t="str">
        <f>IF(Tabela1[[#This Row],[Último PV]]&lt;&gt;"","Sim","Nao")</f>
        <v>Nao</v>
      </c>
      <c r="L344" s="9" t="s">
        <v>885</v>
      </c>
    </row>
    <row r="345" spans="1:12" x14ac:dyDescent="0.25">
      <c r="A345" t="s">
        <v>468</v>
      </c>
      <c r="B345" t="s">
        <v>722</v>
      </c>
      <c r="C345" t="s">
        <v>723</v>
      </c>
      <c r="E345" s="4"/>
      <c r="F345" s="4"/>
      <c r="G345" s="6" t="s">
        <v>885</v>
      </c>
      <c r="H345" s="7" t="s">
        <v>885</v>
      </c>
      <c r="I345" s="7" t="s">
        <v>885</v>
      </c>
      <c r="K345" t="str">
        <f>IF(Tabela1[[#This Row],[Último PV]]&lt;&gt;"","Sim","Nao")</f>
        <v>Nao</v>
      </c>
      <c r="L345" s="9" t="s">
        <v>885</v>
      </c>
    </row>
    <row r="346" spans="1:12" x14ac:dyDescent="0.25">
      <c r="A346" t="s">
        <v>724</v>
      </c>
      <c r="B346" t="s">
        <v>725</v>
      </c>
      <c r="C346" t="s">
        <v>726</v>
      </c>
      <c r="D346" t="s">
        <v>727</v>
      </c>
      <c r="E346" s="4"/>
      <c r="F346" s="4"/>
      <c r="G346" s="6">
        <v>10240</v>
      </c>
      <c r="H346" s="7">
        <v>45988</v>
      </c>
      <c r="I346" s="7" t="s">
        <v>884</v>
      </c>
      <c r="K346" t="str">
        <f>IF(Tabela1[[#This Row],[Último PV]]&lt;&gt;"","Sim","Nao")</f>
        <v>Sim</v>
      </c>
      <c r="L346" s="9">
        <v>2717.04</v>
      </c>
    </row>
    <row r="347" spans="1:12" x14ac:dyDescent="0.25">
      <c r="A347" t="s">
        <v>724</v>
      </c>
      <c r="B347" t="s">
        <v>725</v>
      </c>
      <c r="C347" t="s">
        <v>729</v>
      </c>
      <c r="D347" t="s">
        <v>728</v>
      </c>
      <c r="E347" s="4"/>
      <c r="F347" s="4"/>
      <c r="G347" s="6">
        <v>9857</v>
      </c>
      <c r="H347" s="7">
        <v>45916</v>
      </c>
      <c r="I347" s="7" t="s">
        <v>884</v>
      </c>
      <c r="J347" t="s">
        <v>879</v>
      </c>
      <c r="K347" t="str">
        <f>IF(Tabela1[[#This Row],[Último PV]]&lt;&gt;"","Sim","Nao")</f>
        <v>Sim</v>
      </c>
      <c r="L347" s="9">
        <v>2150.2800000000002</v>
      </c>
    </row>
    <row r="348" spans="1:12" x14ac:dyDescent="0.25">
      <c r="A348" t="s">
        <v>724</v>
      </c>
      <c r="B348" t="s">
        <v>725</v>
      </c>
      <c r="C348" t="s">
        <v>731</v>
      </c>
      <c r="D348" t="s">
        <v>730</v>
      </c>
      <c r="E348" s="4"/>
      <c r="F348" s="4"/>
      <c r="G348" s="6" t="s">
        <v>885</v>
      </c>
      <c r="H348" s="7" t="s">
        <v>885</v>
      </c>
      <c r="I348" s="7" t="s">
        <v>885</v>
      </c>
      <c r="K348" t="str">
        <f>IF(Tabela1[[#This Row],[Último PV]]&lt;&gt;"","Sim","Nao")</f>
        <v>Nao</v>
      </c>
      <c r="L348" s="9" t="s">
        <v>885</v>
      </c>
    </row>
    <row r="349" spans="1:12" x14ac:dyDescent="0.25">
      <c r="A349" t="s">
        <v>724</v>
      </c>
      <c r="B349" t="s">
        <v>725</v>
      </c>
      <c r="C349" t="s">
        <v>733</v>
      </c>
      <c r="D349" t="s">
        <v>732</v>
      </c>
      <c r="E349" s="4"/>
      <c r="F349" s="4"/>
      <c r="G349" s="6" t="s">
        <v>885</v>
      </c>
      <c r="H349" s="7" t="s">
        <v>885</v>
      </c>
      <c r="I349" s="7" t="s">
        <v>885</v>
      </c>
      <c r="K349" t="str">
        <f>IF(Tabela1[[#This Row],[Último PV]]&lt;&gt;"","Sim","Nao")</f>
        <v>Nao</v>
      </c>
      <c r="L349" s="9" t="s">
        <v>885</v>
      </c>
    </row>
    <row r="350" spans="1:12" x14ac:dyDescent="0.25">
      <c r="A350" t="s">
        <v>724</v>
      </c>
      <c r="B350" t="s">
        <v>725</v>
      </c>
      <c r="C350" t="s">
        <v>735</v>
      </c>
      <c r="D350" t="s">
        <v>734</v>
      </c>
      <c r="E350" s="4"/>
      <c r="F350" s="4"/>
      <c r="G350" s="6" t="s">
        <v>885</v>
      </c>
      <c r="H350" s="7" t="s">
        <v>885</v>
      </c>
      <c r="I350" s="7" t="s">
        <v>885</v>
      </c>
      <c r="K350" t="str">
        <f>IF(Tabela1[[#This Row],[Último PV]]&lt;&gt;"","Sim","Nao")</f>
        <v>Nao</v>
      </c>
      <c r="L350" s="9" t="s">
        <v>885</v>
      </c>
    </row>
    <row r="351" spans="1:12" x14ac:dyDescent="0.25">
      <c r="A351" t="s">
        <v>724</v>
      </c>
      <c r="B351" t="s">
        <v>725</v>
      </c>
      <c r="C351" t="s">
        <v>737</v>
      </c>
      <c r="D351" t="s">
        <v>736</v>
      </c>
      <c r="E351" s="4"/>
      <c r="F351" s="4"/>
      <c r="G351" s="6" t="s">
        <v>885</v>
      </c>
      <c r="H351" s="7" t="s">
        <v>885</v>
      </c>
      <c r="I351" s="7" t="s">
        <v>885</v>
      </c>
      <c r="K351" t="str">
        <f>IF(Tabela1[[#This Row],[Último PV]]&lt;&gt;"","Sim","Nao")</f>
        <v>Nao</v>
      </c>
      <c r="L351" s="9" t="s">
        <v>885</v>
      </c>
    </row>
    <row r="352" spans="1:12" x14ac:dyDescent="0.25">
      <c r="A352" t="s">
        <v>724</v>
      </c>
      <c r="B352" t="s">
        <v>739</v>
      </c>
      <c r="C352" t="s">
        <v>740</v>
      </c>
      <c r="D352" t="s">
        <v>738</v>
      </c>
      <c r="E352" s="4"/>
      <c r="F352" s="4"/>
      <c r="G352" s="6" t="s">
        <v>885</v>
      </c>
      <c r="H352" s="7" t="s">
        <v>885</v>
      </c>
      <c r="I352" s="7" t="s">
        <v>885</v>
      </c>
      <c r="K352" t="str">
        <f>IF(Tabela1[[#This Row],[Último PV]]&lt;&gt;"","Sim","Nao")</f>
        <v>Nao</v>
      </c>
      <c r="L352" s="9" t="s">
        <v>885</v>
      </c>
    </row>
    <row r="353" spans="1:12" x14ac:dyDescent="0.25">
      <c r="A353" t="s">
        <v>724</v>
      </c>
      <c r="B353" t="s">
        <v>743</v>
      </c>
      <c r="C353" t="s">
        <v>742</v>
      </c>
      <c r="D353" t="s">
        <v>741</v>
      </c>
      <c r="E353" s="4"/>
      <c r="F353" s="4"/>
      <c r="G353" s="6" t="s">
        <v>885</v>
      </c>
      <c r="H353" s="7" t="s">
        <v>885</v>
      </c>
      <c r="I353" s="7" t="s">
        <v>885</v>
      </c>
      <c r="K353" t="str">
        <f>IF(Tabela1[[#This Row],[Último PV]]&lt;&gt;"","Sim","Nao")</f>
        <v>Nao</v>
      </c>
      <c r="L353" s="9" t="s">
        <v>885</v>
      </c>
    </row>
    <row r="354" spans="1:12" x14ac:dyDescent="0.25">
      <c r="A354" t="s">
        <v>724</v>
      </c>
      <c r="B354" t="s">
        <v>745</v>
      </c>
      <c r="C354" t="s">
        <v>746</v>
      </c>
      <c r="D354" t="s">
        <v>744</v>
      </c>
      <c r="E354" s="4"/>
      <c r="F354" s="4"/>
      <c r="G354" s="6" t="s">
        <v>885</v>
      </c>
      <c r="H354" s="7" t="s">
        <v>885</v>
      </c>
      <c r="I354" s="7" t="s">
        <v>885</v>
      </c>
      <c r="K354" t="str">
        <f>IF(Tabela1[[#This Row],[Último PV]]&lt;&gt;"","Sim","Nao")</f>
        <v>Nao</v>
      </c>
      <c r="L354" s="9" t="s">
        <v>885</v>
      </c>
    </row>
    <row r="355" spans="1:12" x14ac:dyDescent="0.25">
      <c r="A355" t="s">
        <v>468</v>
      </c>
      <c r="B355" t="s">
        <v>763</v>
      </c>
      <c r="C355" t="s">
        <v>764</v>
      </c>
      <c r="D355" t="s">
        <v>765</v>
      </c>
      <c r="E355" s="4"/>
      <c r="F355" s="4"/>
      <c r="G355" s="6" t="s">
        <v>885</v>
      </c>
      <c r="H355" s="7" t="s">
        <v>885</v>
      </c>
      <c r="I355" s="7" t="s">
        <v>885</v>
      </c>
      <c r="K355" t="str">
        <f>IF(Tabela1[[#This Row],[Último PV]]&lt;&gt;"","Sim","Nao")</f>
        <v>Nao</v>
      </c>
      <c r="L355" s="9" t="s">
        <v>885</v>
      </c>
    </row>
  </sheetData>
  <pageMargins left="0.511811024" right="0.511811024" top="0.78740157499999996" bottom="0.78740157499999996" header="0.31496062000000002" footer="0.31496062000000002"/>
  <pageSetup paperSize="9" scale="25" orientation="portrait" r:id="rId1"/>
  <rowBreaks count="1" manualBreakCount="1">
    <brk id="154" max="10" man="1"/>
  </rowBreaks>
  <colBreaks count="1" manualBreakCount="1">
    <brk id="2" max="354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Helmer Cruz Almeida</dc:creator>
  <cp:lastModifiedBy>PLÍNIO DE LIMA ANUNCIAÇÃO JÚNIOR</cp:lastModifiedBy>
  <dcterms:created xsi:type="dcterms:W3CDTF">2025-12-03T13:49:12Z</dcterms:created>
  <dcterms:modified xsi:type="dcterms:W3CDTF">2025-12-04T14:55:55Z</dcterms:modified>
</cp:coreProperties>
</file>